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ступления" sheetId="1" r:id="rId5"/>
    <sheet state="visible" name="Расходы" sheetId="2" r:id="rId6"/>
    <sheet state="visible" name="Сопоставление" sheetId="3" r:id="rId7"/>
    <sheet state="visible" name="Сотношение" sheetId="4" r:id="rId8"/>
    <sheet state="visible" name="Лист2" sheetId="5" r:id="rId9"/>
  </sheets>
  <definedNames/>
  <calcPr/>
</workbook>
</file>

<file path=xl/sharedStrings.xml><?xml version="1.0" encoding="utf-8"?>
<sst xmlns="http://schemas.openxmlformats.org/spreadsheetml/2006/main" count="782" uniqueCount="169">
  <si>
    <t>категории поступлений</t>
  </si>
  <si>
    <t>Продажи текущие</t>
  </si>
  <si>
    <t>Группы</t>
  </si>
  <si>
    <t>Названия в финтабло</t>
  </si>
  <si>
    <t>Продажи контракт</t>
  </si>
  <si>
    <t>Спецпроект</t>
  </si>
  <si>
    <t>Кредит</t>
  </si>
  <si>
    <t>Возвраты от поставщиков</t>
  </si>
  <si>
    <t>Нераспределенное</t>
  </si>
  <si>
    <t>Прочие поступл. от фин. операций</t>
  </si>
  <si>
    <t>Название в таблице фондов</t>
  </si>
  <si>
    <t>Статья</t>
  </si>
  <si>
    <t>Род. статья</t>
  </si>
  <si>
    <t>Агентские вознаграждения</t>
  </si>
  <si>
    <t>Агрегаторы</t>
  </si>
  <si>
    <t>Административные подрядчики</t>
  </si>
  <si>
    <t>Банковское обслуживание</t>
  </si>
  <si>
    <t>подкатегории</t>
  </si>
  <si>
    <t>КИВИ Кейтеринг</t>
  </si>
  <si>
    <t>Обязательные</t>
  </si>
  <si>
    <t>Возврат клиентам</t>
  </si>
  <si>
    <t>Вывод прибыли</t>
  </si>
  <si>
    <t>Вывод прибыли (дивиденды)</t>
  </si>
  <si>
    <t>ЯРОД (контракт)</t>
  </si>
  <si>
    <t>Закуп сырья</t>
  </si>
  <si>
    <t>Вспомогательное сырье</t>
  </si>
  <si>
    <t>Строители Олонхо</t>
  </si>
  <si>
    <t>Основное сырье</t>
  </si>
  <si>
    <t>Сырье за наличные/бизнес карту</t>
  </si>
  <si>
    <t>КИВИ Ивент</t>
  </si>
  <si>
    <t>Зарплата</t>
  </si>
  <si>
    <t>РБ2 (контракт)</t>
  </si>
  <si>
    <t>Кобяйская СОШ (лагерь)</t>
  </si>
  <si>
    <t>Аванс</t>
  </si>
  <si>
    <t>Прочие</t>
  </si>
  <si>
    <t>Займ в счет зарплаты</t>
  </si>
  <si>
    <t>КИВИ Деливери</t>
  </si>
  <si>
    <t>Банк</t>
  </si>
  <si>
    <t xml:space="preserve">Группа </t>
  </si>
  <si>
    <t>Налог</t>
  </si>
  <si>
    <t>Школа №7 (контракт)</t>
  </si>
  <si>
    <t>Помещения</t>
  </si>
  <si>
    <t>Транспорт</t>
  </si>
  <si>
    <t>Прочие спецпроекты</t>
  </si>
  <si>
    <t>Направление</t>
  </si>
  <si>
    <t>Зарплата основная</t>
  </si>
  <si>
    <t>КИВИ фит</t>
  </si>
  <si>
    <t>Школа №21 (контракт)</t>
  </si>
  <si>
    <t>Отпускные</t>
  </si>
  <si>
    <t>Род Статья</t>
  </si>
  <si>
    <t>Расчет при увольнении</t>
  </si>
  <si>
    <t>РЦ буфет</t>
  </si>
  <si>
    <t>Школа №26 (контракт)</t>
  </si>
  <si>
    <t>Фрилансы</t>
  </si>
  <si>
    <t>Канцтовары</t>
  </si>
  <si>
    <t>Налог на доходы</t>
  </si>
  <si>
    <t>Оплата аренды и ВКУ</t>
  </si>
  <si>
    <t>РСКШИ буфет</t>
  </si>
  <si>
    <t>Командировочные расходы</t>
  </si>
  <si>
    <t>Топливо</t>
  </si>
  <si>
    <t>Командировочные</t>
  </si>
  <si>
    <t>Айыы кыьата (контракт)</t>
  </si>
  <si>
    <t>Комиссия по эквайрингу</t>
  </si>
  <si>
    <t>Медосмотр и прививки</t>
  </si>
  <si>
    <t>Медосмотры</t>
  </si>
  <si>
    <t>Речевая буфет</t>
  </si>
  <si>
    <t>Налоги на доходы (прибыль)</t>
  </si>
  <si>
    <t>Речевая (контракт)</t>
  </si>
  <si>
    <t>Налоги за сотрудников</t>
  </si>
  <si>
    <t>Налог ФОТ</t>
  </si>
  <si>
    <t>Взносы в фонды</t>
  </si>
  <si>
    <t>Кытылга</t>
  </si>
  <si>
    <t>РЦ (контракт)</t>
  </si>
  <si>
    <t>НДФЛ</t>
  </si>
  <si>
    <t xml:space="preserve">Налог ФОТ </t>
  </si>
  <si>
    <t>Услуги связи и интернета</t>
  </si>
  <si>
    <t>Услуги такси/Развоз персонала</t>
  </si>
  <si>
    <t>Неучтенные расходы</t>
  </si>
  <si>
    <t>Непредвиденные расходы</t>
  </si>
  <si>
    <t>Школа №7</t>
  </si>
  <si>
    <t>РСКШИ (контракт)</t>
  </si>
  <si>
    <t>Аренда гаража</t>
  </si>
  <si>
    <t>Школа №21</t>
  </si>
  <si>
    <t>Расходы на программное обеспечение</t>
  </si>
  <si>
    <t>ДИКБ (контракт)</t>
  </si>
  <si>
    <t>Погашение кредитов</t>
  </si>
  <si>
    <t>Школа №26</t>
  </si>
  <si>
    <t>Аренда объектов</t>
  </si>
  <si>
    <t>Переменные</t>
  </si>
  <si>
    <t>Айыы кыьата</t>
  </si>
  <si>
    <t>Аренда офиса</t>
  </si>
  <si>
    <t>Коммунальные расходы</t>
  </si>
  <si>
    <t>Официанты</t>
  </si>
  <si>
    <t>Дебиторская задолженность покупателей</t>
  </si>
  <si>
    <t>Платежи в бюджет</t>
  </si>
  <si>
    <t>Выплата тела кредита</t>
  </si>
  <si>
    <t>Рекламный бюджет</t>
  </si>
  <si>
    <t>Себестоимость</t>
  </si>
  <si>
    <t>Проценты по кредиту</t>
  </si>
  <si>
    <t>Кредиторка</t>
  </si>
  <si>
    <t>Налоги ФОТ</t>
  </si>
  <si>
    <t>Поиск и найм персонала</t>
  </si>
  <si>
    <t>Представительские расходы</t>
  </si>
  <si>
    <t>Производственные подрядчики</t>
  </si>
  <si>
    <t>Кредиторка по аренде</t>
  </si>
  <si>
    <t>Производственный контроль (СЭС)</t>
  </si>
  <si>
    <t>Кредиторка по рекламе</t>
  </si>
  <si>
    <t>Транспортные услуги</t>
  </si>
  <si>
    <t>Бюджет на трафик</t>
  </si>
  <si>
    <t>Кредиторка по сырью</t>
  </si>
  <si>
    <t>Киви Фит</t>
  </si>
  <si>
    <t>Имиджевые расходы</t>
  </si>
  <si>
    <t>Транспортные расходы</t>
  </si>
  <si>
    <t>Косвенные маркетинговые расходы</t>
  </si>
  <si>
    <t>Ремонт объектов</t>
  </si>
  <si>
    <t>Содержание объектов</t>
  </si>
  <si>
    <t>Фриланс</t>
  </si>
  <si>
    <t>Ремонт основных средств</t>
  </si>
  <si>
    <t>Непостоянные платежи</t>
  </si>
  <si>
    <t>Спецодежда</t>
  </si>
  <si>
    <t>Стратсессии</t>
  </si>
  <si>
    <t>Прочее</t>
  </si>
  <si>
    <t>Расходы персонала</t>
  </si>
  <si>
    <t>Кафе Вилюйск</t>
  </si>
  <si>
    <t>Гос платежи</t>
  </si>
  <si>
    <t>Подрядчики</t>
  </si>
  <si>
    <t>Услуги сторонних подрядчиков</t>
  </si>
  <si>
    <t>Развоз персонала</t>
  </si>
  <si>
    <t>Услуги такси</t>
  </si>
  <si>
    <t>Участие на тендерах</t>
  </si>
  <si>
    <t>ОС и ТМЦ</t>
  </si>
  <si>
    <t>Больничные</t>
  </si>
  <si>
    <t>Вклады, депозиты</t>
  </si>
  <si>
    <t>Возврат внесенных средств собственника</t>
  </si>
  <si>
    <t>Выдача кредитов и займов</t>
  </si>
  <si>
    <t>Закупки</t>
  </si>
  <si>
    <t>Инвестиционный проект</t>
  </si>
  <si>
    <t>Кассовая техника</t>
  </si>
  <si>
    <t>Неразнесенное списание</t>
  </si>
  <si>
    <t>Обучение</t>
  </si>
  <si>
    <t>Пожертвования</t>
  </si>
  <si>
    <t>Покупка мелких ТМЦ</t>
  </si>
  <si>
    <t>Покупка основных средств</t>
  </si>
  <si>
    <t>Покупка ТМЦ</t>
  </si>
  <si>
    <t>Полиграфия и упаковка</t>
  </si>
  <si>
    <t>Премия персоналу</t>
  </si>
  <si>
    <t>Расходы на персонал</t>
  </si>
  <si>
    <t>Расходы учредителей</t>
  </si>
  <si>
    <t>Стирка и глажка</t>
  </si>
  <si>
    <t>Экспедиционные услуги</t>
  </si>
  <si>
    <t>Кейтеринг</t>
  </si>
  <si>
    <t>Офис Вилюйский тракт</t>
  </si>
  <si>
    <t>СОШ № 21</t>
  </si>
  <si>
    <t>СОШ № 26</t>
  </si>
  <si>
    <t>СОШ № 7</t>
  </si>
  <si>
    <t>КТФ</t>
  </si>
  <si>
    <t>РЦ</t>
  </si>
  <si>
    <t>АХО</t>
  </si>
  <si>
    <t>Ивент</t>
  </si>
  <si>
    <t>Китчен Хаус</t>
  </si>
  <si>
    <t>Коммерческий отдел</t>
  </si>
  <si>
    <t>Логистика</t>
  </si>
  <si>
    <t>Окружное шоссе</t>
  </si>
  <si>
    <t>РБ2</t>
  </si>
  <si>
    <t>Речевая</t>
  </si>
  <si>
    <t>ЯРОД</t>
  </si>
  <si>
    <t>Кредиторска по сырью</t>
  </si>
  <si>
    <t>Доставка</t>
  </si>
  <si>
    <t>Автомобиль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</si>
</sst>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Open Sans"/>
    </font>
    <font>
      <color theme="1"/>
      <name val="Arial"/>
    </font>
    <font>
      <color theme="1"/>
      <name val="Open Sans"/>
    </font>
    <font>
      <color rgb="FFFF0000"/>
      <name val="Open Sans"/>
    </font>
    <font>
      <color rgb="FF787C80"/>
      <name val="&quot;Source Sans Pro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DADDE7"/>
      </right>
      <bottom style="thin">
        <color rgb="FFDADDE7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readingOrder="0"/>
    </xf>
    <xf borderId="1" fillId="0" fontId="1" numFmtId="3" xfId="0" applyAlignment="1" applyBorder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3" xfId="0" applyAlignment="1" applyFont="1" applyNumberFormat="1">
      <alignment readingOrder="0" shrinkToFit="0" wrapText="1"/>
    </xf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2" fillId="0" fontId="1" numFmtId="3" xfId="0" applyAlignment="1" applyBorder="1" applyFont="1" applyNumberFormat="1">
      <alignment readingOrder="0"/>
    </xf>
    <xf borderId="2" fillId="0" fontId="1" numFmtId="3" xfId="0" applyBorder="1" applyFont="1" applyNumberFormat="1"/>
    <xf borderId="0" fillId="0" fontId="3" numFmtId="3" xfId="0" applyAlignment="1" applyFont="1" applyNumberFormat="1">
      <alignment readingOrder="0" shrinkToFit="0" vertical="bottom" wrapText="1"/>
    </xf>
    <xf borderId="2" fillId="0" fontId="4" numFmtId="3" xfId="0" applyAlignment="1" applyBorder="1" applyFont="1" applyNumberFormat="1">
      <alignment vertical="bottom"/>
    </xf>
    <xf borderId="0" fillId="0" fontId="2" numFmtId="0" xfId="0" applyAlignment="1" applyFont="1">
      <alignment readingOrder="0" shrinkToFit="0" wrapText="1"/>
    </xf>
    <xf borderId="0" fillId="0" fontId="1" numFmtId="3" xfId="0" applyFont="1" applyNumberFormat="1"/>
    <xf borderId="0" fillId="0" fontId="5" numFmtId="3" xfId="0" applyAlignment="1" applyFont="1" applyNumberFormat="1">
      <alignment shrinkToFit="0" vertical="bottom" wrapText="1"/>
    </xf>
    <xf borderId="0" fillId="0" fontId="4" numFmtId="3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1" numFmtId="3" xfId="0" applyAlignment="1" applyFont="1" applyNumberFormat="1">
      <alignment readingOrder="0"/>
    </xf>
    <xf borderId="3" fillId="0" fontId="1" numFmtId="3" xfId="0" applyBorder="1" applyFont="1" applyNumberFormat="1"/>
    <xf borderId="0" fillId="0" fontId="3" numFmtId="3" xfId="0" applyAlignment="1" applyFont="1" applyNumberFormat="1">
      <alignment shrinkToFit="0" vertical="bottom" wrapText="1"/>
    </xf>
    <xf borderId="0" fillId="0" fontId="5" numFmtId="3" xfId="0" applyAlignment="1" applyFont="1" applyNumberFormat="1">
      <alignment readingOrder="0" shrinkToFit="0" vertical="bottom" wrapText="1"/>
    </xf>
    <xf borderId="0" fillId="0" fontId="6" numFmtId="3" xfId="0" applyAlignment="1" applyFont="1" applyNumberFormat="1">
      <alignment shrinkToFit="0" vertical="bottom" wrapText="1"/>
    </xf>
    <xf borderId="0" fillId="0" fontId="4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0" fontId="1" numFmtId="0" xfId="0" applyFont="1"/>
    <xf borderId="4" fillId="0" fontId="7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38"/>
    <col customWidth="1" min="3" max="3" width="19.5"/>
    <col customWidth="1" min="4" max="4" width="20.25"/>
    <col customWidth="1" min="5" max="9" width="13.88"/>
  </cols>
  <sheetData>
    <row r="1">
      <c r="A1" s="1" t="s">
        <v>0</v>
      </c>
      <c r="B1" s="2" t="s">
        <v>1</v>
      </c>
      <c r="C1" s="2" t="s">
        <v>4</v>
      </c>
      <c r="D1" s="1" t="s">
        <v>5</v>
      </c>
      <c r="E1" s="1" t="s">
        <v>6</v>
      </c>
      <c r="F1" s="4" t="s">
        <v>7</v>
      </c>
      <c r="G1" s="4" t="s">
        <v>8</v>
      </c>
      <c r="H1" s="4" t="s">
        <v>9</v>
      </c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10" t="s">
        <v>17</v>
      </c>
      <c r="B2" s="11" t="s">
        <v>18</v>
      </c>
      <c r="C2" s="13" t="s">
        <v>23</v>
      </c>
      <c r="D2" s="13" t="s">
        <v>26</v>
      </c>
      <c r="E2" s="11"/>
      <c r="F2" s="11"/>
      <c r="G2" s="11"/>
      <c r="H2" s="11"/>
      <c r="I2" s="15"/>
      <c r="J2" s="15"/>
    </row>
    <row r="3">
      <c r="A3" s="11"/>
      <c r="B3" s="11" t="s">
        <v>29</v>
      </c>
      <c r="C3" s="13" t="s">
        <v>31</v>
      </c>
      <c r="D3" s="13" t="s">
        <v>32</v>
      </c>
      <c r="E3" s="11"/>
      <c r="F3" s="11"/>
      <c r="G3" s="11"/>
      <c r="H3" s="11"/>
      <c r="I3" s="15"/>
      <c r="J3" s="15"/>
    </row>
    <row r="4">
      <c r="A4" s="11"/>
      <c r="B4" s="11" t="s">
        <v>36</v>
      </c>
      <c r="C4" s="13" t="s">
        <v>40</v>
      </c>
      <c r="D4" s="10" t="s">
        <v>43</v>
      </c>
      <c r="E4" s="11"/>
      <c r="F4" s="11"/>
      <c r="G4" s="11"/>
      <c r="H4" s="11"/>
      <c r="I4" s="15"/>
      <c r="J4" s="15"/>
    </row>
    <row r="5">
      <c r="A5" s="11"/>
      <c r="B5" s="11" t="s">
        <v>46</v>
      </c>
      <c r="C5" s="13" t="s">
        <v>47</v>
      </c>
      <c r="D5" s="11"/>
      <c r="E5" s="11"/>
      <c r="F5" s="11"/>
      <c r="G5" s="11"/>
      <c r="H5" s="11"/>
      <c r="I5" s="15"/>
      <c r="J5" s="15"/>
    </row>
    <row r="6">
      <c r="A6" s="11"/>
      <c r="B6" s="11" t="s">
        <v>51</v>
      </c>
      <c r="C6" s="13" t="s">
        <v>52</v>
      </c>
      <c r="D6" s="11"/>
      <c r="E6" s="11"/>
      <c r="F6" s="11"/>
      <c r="G6" s="11"/>
      <c r="H6" s="11"/>
      <c r="I6" s="15"/>
      <c r="J6" s="15"/>
    </row>
    <row r="7">
      <c r="A7" s="11"/>
      <c r="B7" s="11" t="s">
        <v>57</v>
      </c>
      <c r="C7" s="13" t="s">
        <v>61</v>
      </c>
      <c r="D7" s="11"/>
      <c r="E7" s="11"/>
      <c r="F7" s="11"/>
      <c r="G7" s="11"/>
      <c r="H7" s="11"/>
      <c r="I7" s="15"/>
      <c r="J7" s="15"/>
    </row>
    <row r="8">
      <c r="A8" s="11"/>
      <c r="B8" s="11" t="s">
        <v>65</v>
      </c>
      <c r="C8" s="13" t="s">
        <v>67</v>
      </c>
      <c r="D8" s="11"/>
      <c r="E8" s="11"/>
      <c r="F8" s="11"/>
      <c r="G8" s="11"/>
      <c r="H8" s="11"/>
      <c r="I8" s="15"/>
      <c r="J8" s="15"/>
    </row>
    <row r="9">
      <c r="A9" s="11"/>
      <c r="B9" s="11" t="s">
        <v>71</v>
      </c>
      <c r="C9" s="13" t="s">
        <v>72</v>
      </c>
      <c r="D9" s="11"/>
      <c r="E9" s="11"/>
      <c r="F9" s="11"/>
      <c r="G9" s="11"/>
      <c r="H9" s="11"/>
      <c r="I9" s="15"/>
      <c r="J9" s="15"/>
    </row>
    <row r="10">
      <c r="A10" s="11"/>
      <c r="B10" s="11" t="s">
        <v>79</v>
      </c>
      <c r="C10" s="13" t="s">
        <v>80</v>
      </c>
      <c r="D10" s="11"/>
      <c r="E10" s="11"/>
      <c r="F10" s="11"/>
      <c r="G10" s="11"/>
      <c r="H10" s="11"/>
      <c r="I10" s="15"/>
      <c r="J10" s="15"/>
    </row>
    <row r="11">
      <c r="A11" s="11"/>
      <c r="B11" s="11" t="s">
        <v>82</v>
      </c>
      <c r="C11" s="11" t="s">
        <v>84</v>
      </c>
      <c r="D11" s="11"/>
      <c r="E11" s="11"/>
      <c r="F11" s="11"/>
      <c r="G11" s="11"/>
      <c r="H11" s="11"/>
      <c r="I11" s="15"/>
      <c r="J11" s="15"/>
    </row>
    <row r="12">
      <c r="A12" s="11"/>
      <c r="B12" s="11" t="s">
        <v>86</v>
      </c>
      <c r="C12" s="11"/>
      <c r="D12" s="11"/>
      <c r="E12" s="11"/>
      <c r="F12" s="11"/>
      <c r="G12" s="11"/>
      <c r="H12" s="11"/>
      <c r="I12" s="15"/>
      <c r="J12" s="15"/>
    </row>
    <row r="13">
      <c r="A13" s="11"/>
      <c r="B13" s="11" t="s">
        <v>89</v>
      </c>
      <c r="C13" s="11"/>
      <c r="D13" s="11"/>
      <c r="E13" s="11"/>
      <c r="F13" s="11"/>
      <c r="G13" s="11"/>
      <c r="H13" s="11"/>
      <c r="I13" s="15"/>
      <c r="J13" s="15"/>
    </row>
    <row r="14">
      <c r="A14" s="20"/>
      <c r="B14" s="20" t="s">
        <v>93</v>
      </c>
      <c r="C14" s="20"/>
      <c r="D14" s="20"/>
      <c r="E14" s="20"/>
      <c r="F14" s="20"/>
      <c r="G14" s="20"/>
      <c r="H14" s="20"/>
      <c r="I14" s="15"/>
      <c r="J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17.5"/>
    <col customWidth="1" min="4" max="4" width="19.5"/>
    <col customWidth="1" min="5" max="5" width="20.25"/>
    <col customWidth="1" min="6" max="10" width="13.88"/>
  </cols>
  <sheetData>
    <row r="1">
      <c r="A1" s="3" t="s">
        <v>2</v>
      </c>
      <c r="C1" s="5"/>
      <c r="D1" s="5"/>
      <c r="E1" s="5"/>
      <c r="F1" s="5"/>
      <c r="G1" s="6"/>
      <c r="H1" s="6"/>
      <c r="I1" s="6"/>
      <c r="J1" s="6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>
      <c r="A2" s="3" t="s">
        <v>19</v>
      </c>
      <c r="B2" s="12"/>
      <c r="C2" s="14"/>
      <c r="D2" s="14"/>
      <c r="E2" s="14"/>
      <c r="F2" s="14"/>
      <c r="G2" s="6"/>
      <c r="H2" s="6"/>
      <c r="I2" s="6"/>
      <c r="J2" s="6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>
      <c r="A3" s="12"/>
      <c r="B3" s="12" t="s">
        <v>34</v>
      </c>
      <c r="C3" s="14" t="s">
        <v>37</v>
      </c>
      <c r="D3" s="14" t="s">
        <v>39</v>
      </c>
      <c r="E3" s="14" t="s">
        <v>41</v>
      </c>
      <c r="F3" s="14" t="s">
        <v>42</v>
      </c>
      <c r="G3" s="6"/>
      <c r="H3" s="6"/>
      <c r="I3" s="6"/>
      <c r="J3" s="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>
      <c r="A4" s="16"/>
      <c r="B4" s="16" t="s">
        <v>13</v>
      </c>
      <c r="C4" s="16" t="s">
        <v>16</v>
      </c>
      <c r="D4" s="16" t="s">
        <v>55</v>
      </c>
      <c r="E4" s="16" t="s">
        <v>56</v>
      </c>
      <c r="F4" s="16" t="s">
        <v>59</v>
      </c>
      <c r="G4" s="6"/>
      <c r="H4" s="6"/>
      <c r="I4" s="6"/>
      <c r="J4" s="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>
      <c r="A5" s="16"/>
      <c r="B5" s="16" t="s">
        <v>14</v>
      </c>
      <c r="C5" s="16" t="s">
        <v>62</v>
      </c>
      <c r="D5" s="16" t="s">
        <v>74</v>
      </c>
      <c r="E5" s="16" t="s">
        <v>75</v>
      </c>
      <c r="F5" s="16" t="s">
        <v>76</v>
      </c>
      <c r="G5" s="15"/>
      <c r="H5" s="15"/>
      <c r="I5" s="15"/>
      <c r="J5" s="15"/>
      <c r="K5" s="15"/>
    </row>
    <row r="6">
      <c r="A6" s="16"/>
      <c r="B6" s="16" t="s">
        <v>83</v>
      </c>
      <c r="C6" s="16" t="s">
        <v>85</v>
      </c>
      <c r="D6" s="17"/>
      <c r="E6" s="17"/>
      <c r="F6" s="15"/>
      <c r="G6" s="15"/>
      <c r="H6" s="15"/>
      <c r="I6" s="15"/>
      <c r="J6" s="15"/>
      <c r="K6" s="15"/>
    </row>
    <row r="7">
      <c r="A7" s="3" t="s">
        <v>88</v>
      </c>
      <c r="D7" s="17"/>
      <c r="E7" s="19"/>
      <c r="F7" s="15"/>
      <c r="G7" s="15"/>
      <c r="H7" s="15"/>
      <c r="I7" s="15"/>
      <c r="J7" s="15"/>
      <c r="K7" s="15"/>
    </row>
    <row r="8">
      <c r="A8" s="21"/>
      <c r="B8" s="21" t="s">
        <v>96</v>
      </c>
      <c r="C8" s="3" t="s">
        <v>97</v>
      </c>
      <c r="D8" s="3" t="s">
        <v>99</v>
      </c>
      <c r="E8" s="21" t="s">
        <v>22</v>
      </c>
      <c r="F8" s="21" t="s">
        <v>20</v>
      </c>
      <c r="G8" s="21" t="s">
        <v>100</v>
      </c>
      <c r="H8" s="15"/>
      <c r="I8" s="15"/>
      <c r="J8" s="15"/>
      <c r="K8" s="15"/>
    </row>
    <row r="9">
      <c r="C9" s="16" t="s">
        <v>24</v>
      </c>
      <c r="D9" s="16" t="s">
        <v>104</v>
      </c>
      <c r="E9" s="15"/>
      <c r="F9" s="15"/>
      <c r="G9" s="15"/>
      <c r="H9" s="16" t="s">
        <v>92</v>
      </c>
      <c r="I9" s="15"/>
      <c r="J9" s="15"/>
      <c r="K9" s="15"/>
    </row>
    <row r="10">
      <c r="C10" s="16" t="s">
        <v>30</v>
      </c>
      <c r="D10" s="16" t="s">
        <v>106</v>
      </c>
      <c r="E10" s="15"/>
      <c r="F10" s="15"/>
      <c r="G10" s="15"/>
      <c r="H10" s="16" t="s">
        <v>107</v>
      </c>
      <c r="I10" s="15"/>
      <c r="J10" s="15"/>
      <c r="K10" s="15"/>
    </row>
    <row r="11">
      <c r="C11" s="15"/>
      <c r="D11" s="22" t="s">
        <v>109</v>
      </c>
      <c r="F11" s="15"/>
      <c r="G11" s="15"/>
      <c r="H11" s="23" t="s">
        <v>112</v>
      </c>
      <c r="I11" s="15"/>
      <c r="J11" s="15"/>
      <c r="K11" s="15"/>
    </row>
    <row r="12">
      <c r="C12" s="15"/>
      <c r="D12" s="17"/>
      <c r="E12" s="15"/>
      <c r="F12" s="15"/>
      <c r="G12" s="15"/>
      <c r="H12" s="23" t="s">
        <v>116</v>
      </c>
      <c r="I12" s="15"/>
      <c r="J12" s="15"/>
      <c r="K12" s="15"/>
    </row>
    <row r="13">
      <c r="A13" s="3" t="s">
        <v>118</v>
      </c>
      <c r="C13" s="15"/>
      <c r="D13" s="17"/>
      <c r="E13" s="15"/>
      <c r="F13" s="15"/>
      <c r="G13" s="15"/>
      <c r="H13" s="15"/>
      <c r="I13" s="15"/>
      <c r="J13" s="15"/>
      <c r="K13" s="15"/>
    </row>
    <row r="14">
      <c r="A14" s="12"/>
      <c r="B14" s="12" t="s">
        <v>121</v>
      </c>
      <c r="C14" s="25" t="s">
        <v>122</v>
      </c>
      <c r="D14" s="3" t="s">
        <v>124</v>
      </c>
      <c r="E14" s="3" t="s">
        <v>125</v>
      </c>
      <c r="F14" s="21" t="s">
        <v>78</v>
      </c>
      <c r="H14" s="15"/>
      <c r="I14" s="15"/>
      <c r="J14" s="15"/>
      <c r="K14" s="15"/>
    </row>
    <row r="15">
      <c r="A15" s="16"/>
      <c r="B15" s="16" t="s">
        <v>130</v>
      </c>
      <c r="C15" s="16" t="s">
        <v>119</v>
      </c>
      <c r="D15" s="16" t="s">
        <v>129</v>
      </c>
      <c r="E15" s="16" t="s">
        <v>15</v>
      </c>
      <c r="F15" s="15"/>
      <c r="H15" s="15"/>
      <c r="I15" s="15"/>
      <c r="J15" s="15"/>
      <c r="K15" s="15"/>
    </row>
    <row r="16">
      <c r="A16" s="16"/>
      <c r="B16" s="16" t="s">
        <v>115</v>
      </c>
      <c r="C16" s="16" t="s">
        <v>54</v>
      </c>
      <c r="D16" s="16" t="s">
        <v>94</v>
      </c>
      <c r="E16" s="16" t="s">
        <v>126</v>
      </c>
      <c r="F16" s="15"/>
      <c r="H16" s="15"/>
      <c r="I16" s="15"/>
      <c r="J16" s="15"/>
      <c r="K16" s="15"/>
    </row>
    <row r="17">
      <c r="A17" s="16"/>
      <c r="B17" s="16" t="s">
        <v>120</v>
      </c>
      <c r="C17" s="16" t="s">
        <v>60</v>
      </c>
      <c r="D17" s="16" t="s">
        <v>105</v>
      </c>
      <c r="E17" s="16" t="s">
        <v>103</v>
      </c>
      <c r="F17" s="15"/>
      <c r="H17" s="15"/>
      <c r="I17" s="15"/>
      <c r="J17" s="15"/>
      <c r="K17" s="15"/>
    </row>
    <row r="18">
      <c r="C18" s="16" t="s">
        <v>64</v>
      </c>
      <c r="D18" s="15"/>
      <c r="E18" s="15"/>
      <c r="F18" s="15"/>
      <c r="G18" s="15"/>
      <c r="H18" s="15"/>
      <c r="I18" s="15"/>
      <c r="J18" s="15"/>
      <c r="K18" s="15"/>
    </row>
    <row r="19">
      <c r="C19" s="16" t="s">
        <v>102</v>
      </c>
      <c r="D19" s="15"/>
      <c r="E19" s="15"/>
      <c r="F19" s="15"/>
      <c r="G19" s="15"/>
      <c r="H19" s="15"/>
      <c r="I19" s="15"/>
      <c r="J19" s="15"/>
      <c r="K19" s="15"/>
    </row>
    <row r="20">
      <c r="C20" s="16" t="s">
        <v>101</v>
      </c>
      <c r="D20" s="15"/>
      <c r="E20" s="15"/>
      <c r="F20" s="15"/>
      <c r="G20" s="15"/>
      <c r="H20" s="15"/>
      <c r="I20" s="15"/>
      <c r="J20" s="15"/>
      <c r="K20" s="15"/>
    </row>
    <row r="21">
      <c r="C21" s="15"/>
      <c r="D21" s="15"/>
      <c r="E21" s="15"/>
      <c r="F21" s="15"/>
      <c r="G21" s="15"/>
      <c r="H21" s="15"/>
      <c r="I21" s="15"/>
      <c r="J21" s="15"/>
      <c r="K21" s="15"/>
    </row>
    <row r="22">
      <c r="C22" s="15"/>
      <c r="D22" s="15"/>
      <c r="E22" s="15"/>
      <c r="F22" s="15"/>
      <c r="G22" s="15"/>
      <c r="H22" s="15"/>
      <c r="I22" s="15"/>
      <c r="J22" s="15"/>
      <c r="K22" s="15"/>
    </row>
    <row r="23">
      <c r="C23" s="15"/>
      <c r="D23" s="15"/>
      <c r="E23" s="15"/>
      <c r="F23" s="15"/>
      <c r="G23" s="15"/>
      <c r="H23" s="15"/>
      <c r="I23" s="15"/>
      <c r="J23" s="15"/>
      <c r="K23" s="15"/>
    </row>
    <row r="24">
      <c r="C24" s="15"/>
      <c r="D24" s="15"/>
      <c r="E24" s="15"/>
      <c r="F24" s="15"/>
      <c r="G24" s="15"/>
      <c r="H24" s="15"/>
      <c r="I24" s="15"/>
      <c r="J24" s="15"/>
      <c r="K24" s="15"/>
    </row>
    <row r="25">
      <c r="C25" s="15"/>
      <c r="D25" s="15"/>
      <c r="E25" s="15"/>
      <c r="F25" s="15"/>
      <c r="G25" s="15"/>
      <c r="H25" s="15"/>
      <c r="I25" s="15"/>
      <c r="J25" s="15"/>
      <c r="K25" s="15"/>
    </row>
    <row r="26">
      <c r="D26" s="15"/>
      <c r="E26" s="15"/>
      <c r="F26" s="15"/>
      <c r="G26" s="15"/>
      <c r="H26" s="15"/>
      <c r="I26" s="15"/>
      <c r="J26" s="15"/>
      <c r="K26" s="15"/>
    </row>
    <row r="27">
      <c r="C27" s="15"/>
      <c r="D27" s="15"/>
      <c r="E27" s="15"/>
      <c r="F27" s="15"/>
      <c r="G27" s="15"/>
      <c r="H27" s="15"/>
      <c r="I27" s="15"/>
      <c r="J27" s="15"/>
      <c r="K27" s="15"/>
    </row>
    <row r="28">
      <c r="C28" s="15"/>
      <c r="D28" s="15"/>
      <c r="E28" s="15"/>
      <c r="F28" s="15"/>
      <c r="G28" s="15"/>
      <c r="H28" s="15"/>
      <c r="I28" s="15"/>
      <c r="J28" s="15"/>
      <c r="K28" s="15"/>
    </row>
    <row r="29">
      <c r="C29" s="15"/>
      <c r="D29" s="15"/>
      <c r="E29" s="15"/>
      <c r="F29" s="15"/>
      <c r="G29" s="15"/>
      <c r="H29" s="15"/>
      <c r="I29" s="15"/>
      <c r="J29" s="15"/>
      <c r="K29" s="15"/>
    </row>
    <row r="30">
      <c r="C30" s="15"/>
      <c r="D30" s="15"/>
      <c r="E30" s="15"/>
      <c r="F30" s="15"/>
      <c r="G30" s="15"/>
      <c r="H30" s="15"/>
      <c r="I30" s="15"/>
      <c r="J30" s="15"/>
      <c r="K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8.75"/>
  </cols>
  <sheetData>
    <row r="1">
      <c r="A1" s="3" t="s">
        <v>3</v>
      </c>
      <c r="B1" s="7"/>
      <c r="C1" s="3" t="s">
        <v>10</v>
      </c>
    </row>
    <row r="2">
      <c r="A2" s="3" t="s">
        <v>11</v>
      </c>
      <c r="B2" s="3" t="s">
        <v>12</v>
      </c>
    </row>
    <row r="3">
      <c r="A3" s="9" t="s">
        <v>13</v>
      </c>
      <c r="C3" s="9" t="s">
        <v>13</v>
      </c>
    </row>
    <row r="4">
      <c r="A4" s="9" t="s">
        <v>14</v>
      </c>
      <c r="C4" s="9" t="s">
        <v>14</v>
      </c>
    </row>
    <row r="5">
      <c r="A5" s="9" t="s">
        <v>15</v>
      </c>
      <c r="C5" s="9" t="s">
        <v>15</v>
      </c>
    </row>
    <row r="6">
      <c r="A6" s="9" t="s">
        <v>16</v>
      </c>
      <c r="C6" s="9" t="s">
        <v>16</v>
      </c>
    </row>
    <row r="7">
      <c r="A7" s="9" t="s">
        <v>20</v>
      </c>
      <c r="C7" s="9" t="s">
        <v>20</v>
      </c>
    </row>
    <row r="8">
      <c r="A8" s="9" t="s">
        <v>21</v>
      </c>
      <c r="C8" s="9" t="s">
        <v>22</v>
      </c>
    </row>
    <row r="9">
      <c r="A9" s="9" t="s">
        <v>24</v>
      </c>
      <c r="C9" s="9" t="s">
        <v>24</v>
      </c>
    </row>
    <row r="10">
      <c r="A10" s="9" t="s">
        <v>25</v>
      </c>
      <c r="B10" s="9" t="s">
        <v>24</v>
      </c>
      <c r="C10" s="9" t="s">
        <v>24</v>
      </c>
    </row>
    <row r="11">
      <c r="A11" s="9" t="s">
        <v>27</v>
      </c>
      <c r="B11" s="9" t="s">
        <v>24</v>
      </c>
      <c r="C11" s="9" t="s">
        <v>24</v>
      </c>
    </row>
    <row r="12">
      <c r="A12" s="9" t="s">
        <v>28</v>
      </c>
      <c r="B12" s="9" t="s">
        <v>24</v>
      </c>
      <c r="C12" s="9" t="s">
        <v>24</v>
      </c>
    </row>
    <row r="13">
      <c r="A13" s="9" t="s">
        <v>30</v>
      </c>
      <c r="C13" s="9" t="s">
        <v>30</v>
      </c>
    </row>
    <row r="14">
      <c r="A14" s="9" t="s">
        <v>33</v>
      </c>
      <c r="B14" s="9" t="s">
        <v>30</v>
      </c>
      <c r="C14" s="9" t="s">
        <v>30</v>
      </c>
    </row>
    <row r="15">
      <c r="A15" s="9" t="s">
        <v>35</v>
      </c>
      <c r="B15" s="9" t="s">
        <v>30</v>
      </c>
      <c r="C15" s="9" t="s">
        <v>30</v>
      </c>
    </row>
    <row r="16">
      <c r="A16" s="9" t="s">
        <v>30</v>
      </c>
      <c r="B16" s="9" t="s">
        <v>30</v>
      </c>
      <c r="C16" s="9" t="s">
        <v>30</v>
      </c>
    </row>
    <row r="17">
      <c r="A17" s="9" t="s">
        <v>45</v>
      </c>
      <c r="B17" s="9" t="s">
        <v>30</v>
      </c>
      <c r="C17" s="9" t="s">
        <v>30</v>
      </c>
    </row>
    <row r="18">
      <c r="A18" s="9" t="s">
        <v>48</v>
      </c>
      <c r="B18" s="9" t="s">
        <v>30</v>
      </c>
      <c r="C18" s="9" t="s">
        <v>30</v>
      </c>
    </row>
    <row r="19">
      <c r="A19" s="9" t="s">
        <v>50</v>
      </c>
      <c r="B19" s="9" t="s">
        <v>30</v>
      </c>
      <c r="C19" s="9" t="s">
        <v>30</v>
      </c>
    </row>
    <row r="20">
      <c r="A20" s="9" t="s">
        <v>53</v>
      </c>
      <c r="B20" s="9" t="s">
        <v>30</v>
      </c>
      <c r="C20" s="9" t="s">
        <v>30</v>
      </c>
    </row>
    <row r="21">
      <c r="A21" s="9" t="s">
        <v>54</v>
      </c>
      <c r="C21" s="9" t="s">
        <v>54</v>
      </c>
    </row>
    <row r="22">
      <c r="A22" s="9" t="s">
        <v>58</v>
      </c>
      <c r="C22" s="9" t="s">
        <v>60</v>
      </c>
    </row>
    <row r="23">
      <c r="A23" s="9" t="s">
        <v>62</v>
      </c>
      <c r="C23" s="9" t="s">
        <v>62</v>
      </c>
    </row>
    <row r="24">
      <c r="A24" s="9" t="s">
        <v>63</v>
      </c>
      <c r="C24" s="9" t="s">
        <v>64</v>
      </c>
    </row>
    <row r="25">
      <c r="A25" s="9" t="s">
        <v>66</v>
      </c>
      <c r="C25" s="9" t="s">
        <v>55</v>
      </c>
    </row>
    <row r="26">
      <c r="A26" s="9" t="s">
        <v>68</v>
      </c>
      <c r="C26" s="9" t="s">
        <v>69</v>
      </c>
    </row>
    <row r="27">
      <c r="A27" s="9" t="s">
        <v>70</v>
      </c>
      <c r="B27" s="9" t="s">
        <v>68</v>
      </c>
      <c r="C27" s="9" t="s">
        <v>69</v>
      </c>
    </row>
    <row r="28">
      <c r="A28" s="9" t="s">
        <v>73</v>
      </c>
      <c r="B28" s="9" t="s">
        <v>68</v>
      </c>
      <c r="C28" s="9" t="s">
        <v>69</v>
      </c>
    </row>
    <row r="29">
      <c r="A29" s="9" t="s">
        <v>77</v>
      </c>
      <c r="C29" s="9" t="s">
        <v>78</v>
      </c>
    </row>
    <row r="30">
      <c r="A30" s="9" t="s">
        <v>81</v>
      </c>
      <c r="C30" s="9" t="s">
        <v>56</v>
      </c>
    </row>
    <row r="31">
      <c r="A31" s="9" t="s">
        <v>87</v>
      </c>
      <c r="C31" s="9" t="s">
        <v>56</v>
      </c>
    </row>
    <row r="32">
      <c r="A32" s="9" t="s">
        <v>87</v>
      </c>
      <c r="B32" s="9" t="s">
        <v>87</v>
      </c>
      <c r="C32" s="9" t="s">
        <v>56</v>
      </c>
    </row>
    <row r="33">
      <c r="A33" s="9" t="s">
        <v>90</v>
      </c>
      <c r="B33" s="9" t="s">
        <v>87</v>
      </c>
      <c r="C33" s="9" t="s">
        <v>56</v>
      </c>
    </row>
    <row r="34">
      <c r="A34" s="9" t="s">
        <v>91</v>
      </c>
      <c r="B34" s="9" t="s">
        <v>87</v>
      </c>
      <c r="C34" s="9" t="s">
        <v>56</v>
      </c>
    </row>
    <row r="35">
      <c r="A35" s="9" t="s">
        <v>92</v>
      </c>
      <c r="C35" s="9" t="s">
        <v>92</v>
      </c>
    </row>
    <row r="36">
      <c r="A36" s="9" t="s">
        <v>94</v>
      </c>
      <c r="C36" s="9" t="s">
        <v>94</v>
      </c>
    </row>
    <row r="37">
      <c r="A37" s="9" t="s">
        <v>95</v>
      </c>
      <c r="C37" s="9" t="s">
        <v>85</v>
      </c>
    </row>
    <row r="38">
      <c r="A38" s="9" t="s">
        <v>98</v>
      </c>
      <c r="C38" s="9" t="s">
        <v>85</v>
      </c>
    </row>
    <row r="39">
      <c r="A39" s="9" t="s">
        <v>101</v>
      </c>
      <c r="C39" s="9" t="s">
        <v>101</v>
      </c>
    </row>
    <row r="40">
      <c r="A40" s="9" t="s">
        <v>102</v>
      </c>
      <c r="C40" s="9" t="s">
        <v>102</v>
      </c>
    </row>
    <row r="41">
      <c r="A41" s="9" t="s">
        <v>103</v>
      </c>
      <c r="C41" s="9" t="s">
        <v>103</v>
      </c>
    </row>
    <row r="42">
      <c r="A42" s="9" t="s">
        <v>105</v>
      </c>
      <c r="C42" s="9" t="s">
        <v>105</v>
      </c>
    </row>
    <row r="43">
      <c r="A43" s="9" t="s">
        <v>83</v>
      </c>
      <c r="C43" s="9" t="s">
        <v>83</v>
      </c>
    </row>
    <row r="44">
      <c r="A44" s="9" t="s">
        <v>96</v>
      </c>
      <c r="C44" s="9" t="s">
        <v>96</v>
      </c>
    </row>
    <row r="45">
      <c r="A45" s="9" t="s">
        <v>108</v>
      </c>
      <c r="B45" s="9" t="s">
        <v>96</v>
      </c>
      <c r="C45" s="9" t="s">
        <v>96</v>
      </c>
    </row>
    <row r="46">
      <c r="A46" s="9" t="s">
        <v>111</v>
      </c>
      <c r="B46" s="9" t="s">
        <v>96</v>
      </c>
      <c r="C46" s="9" t="s">
        <v>96</v>
      </c>
    </row>
    <row r="47">
      <c r="A47" s="9" t="s">
        <v>113</v>
      </c>
      <c r="B47" s="9" t="s">
        <v>96</v>
      </c>
      <c r="C47" s="9" t="s">
        <v>96</v>
      </c>
    </row>
    <row r="48">
      <c r="A48" s="9" t="s">
        <v>114</v>
      </c>
      <c r="C48" s="9" t="s">
        <v>115</v>
      </c>
    </row>
    <row r="49">
      <c r="A49" s="9" t="s">
        <v>117</v>
      </c>
      <c r="C49" s="9" t="s">
        <v>115</v>
      </c>
    </row>
    <row r="50">
      <c r="A50" s="9" t="s">
        <v>115</v>
      </c>
      <c r="C50" s="9" t="s">
        <v>115</v>
      </c>
    </row>
    <row r="51">
      <c r="A51" s="9" t="s">
        <v>119</v>
      </c>
      <c r="C51" s="9" t="s">
        <v>119</v>
      </c>
    </row>
    <row r="52">
      <c r="A52" s="9" t="s">
        <v>120</v>
      </c>
      <c r="C52" s="9" t="s">
        <v>120</v>
      </c>
    </row>
    <row r="53">
      <c r="A53" s="9" t="s">
        <v>59</v>
      </c>
      <c r="C53" s="9" t="s">
        <v>59</v>
      </c>
    </row>
    <row r="54">
      <c r="A54" s="9" t="s">
        <v>112</v>
      </c>
      <c r="C54" s="9" t="s">
        <v>112</v>
      </c>
    </row>
    <row r="55">
      <c r="A55" s="9" t="s">
        <v>107</v>
      </c>
      <c r="C55" s="9" t="s">
        <v>107</v>
      </c>
    </row>
    <row r="56">
      <c r="A56" s="9" t="s">
        <v>75</v>
      </c>
      <c r="C56" s="9" t="s">
        <v>75</v>
      </c>
    </row>
    <row r="57">
      <c r="A57" s="9" t="s">
        <v>126</v>
      </c>
      <c r="C57" s="9" t="s">
        <v>126</v>
      </c>
    </row>
    <row r="58">
      <c r="A58" s="9" t="s">
        <v>127</v>
      </c>
      <c r="C58" s="9" t="s">
        <v>76</v>
      </c>
    </row>
    <row r="59">
      <c r="A59" s="9" t="s">
        <v>128</v>
      </c>
      <c r="C59" s="9" t="s">
        <v>76</v>
      </c>
    </row>
    <row r="60">
      <c r="A60" s="9" t="s">
        <v>129</v>
      </c>
      <c r="C60" s="9" t="s">
        <v>129</v>
      </c>
    </row>
    <row r="61">
      <c r="A61" s="9" t="s">
        <v>131</v>
      </c>
      <c r="C61" s="9" t="s">
        <v>78</v>
      </c>
    </row>
    <row r="62">
      <c r="A62" s="9" t="s">
        <v>132</v>
      </c>
      <c r="C62" s="9" t="s">
        <v>78</v>
      </c>
    </row>
    <row r="63">
      <c r="A63" s="9" t="s">
        <v>133</v>
      </c>
      <c r="C63" s="9" t="s">
        <v>78</v>
      </c>
    </row>
    <row r="64">
      <c r="A64" s="9" t="s">
        <v>134</v>
      </c>
      <c r="C64" s="9" t="s">
        <v>78</v>
      </c>
    </row>
    <row r="65">
      <c r="A65" s="9" t="s">
        <v>135</v>
      </c>
      <c r="C65" s="9" t="s">
        <v>78</v>
      </c>
    </row>
    <row r="66">
      <c r="A66" s="9" t="s">
        <v>136</v>
      </c>
      <c r="C66" s="9" t="s">
        <v>78</v>
      </c>
    </row>
    <row r="67">
      <c r="A67" s="9" t="s">
        <v>137</v>
      </c>
      <c r="C67" s="9" t="s">
        <v>78</v>
      </c>
    </row>
    <row r="68">
      <c r="A68" s="9" t="s">
        <v>138</v>
      </c>
      <c r="C68" s="9" t="s">
        <v>78</v>
      </c>
    </row>
    <row r="69">
      <c r="A69" s="9" t="s">
        <v>139</v>
      </c>
      <c r="C69" s="9" t="s">
        <v>78</v>
      </c>
    </row>
    <row r="70">
      <c r="A70" s="9" t="s">
        <v>140</v>
      </c>
      <c r="C70" s="9" t="s">
        <v>78</v>
      </c>
    </row>
    <row r="71">
      <c r="A71" s="9" t="s">
        <v>141</v>
      </c>
      <c r="C71" s="9" t="s">
        <v>78</v>
      </c>
    </row>
    <row r="72">
      <c r="A72" s="9" t="s">
        <v>142</v>
      </c>
      <c r="C72" s="9" t="s">
        <v>78</v>
      </c>
    </row>
    <row r="73">
      <c r="A73" s="9" t="s">
        <v>143</v>
      </c>
      <c r="C73" s="9" t="s">
        <v>78</v>
      </c>
    </row>
    <row r="74">
      <c r="A74" s="9" t="s">
        <v>144</v>
      </c>
      <c r="C74" s="9" t="s">
        <v>78</v>
      </c>
    </row>
    <row r="75">
      <c r="A75" s="9" t="s">
        <v>145</v>
      </c>
      <c r="C75" s="9" t="s">
        <v>78</v>
      </c>
    </row>
    <row r="76">
      <c r="A76" s="9" t="s">
        <v>146</v>
      </c>
      <c r="C76" s="9" t="s">
        <v>78</v>
      </c>
    </row>
    <row r="77">
      <c r="A77" s="9" t="s">
        <v>147</v>
      </c>
      <c r="C77" s="9" t="s">
        <v>78</v>
      </c>
    </row>
    <row r="78">
      <c r="A78" s="9" t="s">
        <v>148</v>
      </c>
      <c r="C78" s="9" t="s">
        <v>78</v>
      </c>
    </row>
    <row r="79">
      <c r="A79" s="9" t="s">
        <v>149</v>
      </c>
      <c r="C79" s="9" t="s">
        <v>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9.13"/>
    <col customWidth="1" min="3" max="3" width="31.13"/>
    <col customWidth="1" min="4" max="4" width="20.25"/>
    <col customWidth="1" min="5" max="9" width="13.88"/>
  </cols>
  <sheetData>
    <row r="1">
      <c r="A1" s="5" t="s">
        <v>38</v>
      </c>
      <c r="B1" s="5" t="s">
        <v>44</v>
      </c>
      <c r="C1" s="5" t="s">
        <v>11</v>
      </c>
      <c r="D1" s="5" t="s">
        <v>49</v>
      </c>
      <c r="E1" s="5"/>
      <c r="F1" s="6"/>
      <c r="G1" s="6"/>
      <c r="H1" s="6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17" t="s">
        <v>13</v>
      </c>
      <c r="B2" s="18"/>
      <c r="C2" s="18" t="s">
        <v>13</v>
      </c>
      <c r="D2" s="18"/>
      <c r="E2" s="14"/>
      <c r="F2" s="6"/>
      <c r="G2" s="6"/>
      <c r="H2" s="6"/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17" t="s">
        <v>14</v>
      </c>
      <c r="B3" s="17"/>
      <c r="C3" s="17" t="s">
        <v>14</v>
      </c>
      <c r="D3" s="17"/>
      <c r="E3" s="16"/>
      <c r="F3" s="6"/>
      <c r="G3" s="6"/>
      <c r="H3" s="6"/>
      <c r="I3" s="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17"/>
      <c r="B4" s="17" t="s">
        <v>110</v>
      </c>
      <c r="C4" s="17" t="s">
        <v>14</v>
      </c>
      <c r="D4" s="17"/>
      <c r="E4" s="16"/>
      <c r="F4" s="15"/>
      <c r="G4" s="15"/>
      <c r="H4" s="19"/>
      <c r="I4" s="15"/>
      <c r="J4" s="15"/>
    </row>
    <row r="5">
      <c r="A5" s="17" t="s">
        <v>16</v>
      </c>
      <c r="B5" s="17"/>
      <c r="C5" s="17" t="s">
        <v>16</v>
      </c>
      <c r="D5" s="17"/>
      <c r="E5" s="15"/>
      <c r="F5" s="15"/>
      <c r="G5" s="15"/>
      <c r="H5" s="15"/>
      <c r="I5" s="15"/>
      <c r="J5" s="15"/>
    </row>
    <row r="6">
      <c r="A6" s="17" t="s">
        <v>62</v>
      </c>
      <c r="B6" s="24"/>
      <c r="C6" s="17" t="s">
        <v>62</v>
      </c>
      <c r="D6" s="17"/>
      <c r="E6" s="15"/>
      <c r="F6" s="15"/>
      <c r="G6" s="15"/>
      <c r="H6" s="15"/>
      <c r="I6" s="15"/>
      <c r="J6" s="15"/>
    </row>
    <row r="7">
      <c r="A7" s="17"/>
      <c r="B7" s="18" t="s">
        <v>123</v>
      </c>
      <c r="C7" s="18" t="s">
        <v>62</v>
      </c>
      <c r="D7" s="17"/>
      <c r="E7" s="21"/>
      <c r="F7" s="21"/>
      <c r="G7" s="15"/>
      <c r="H7" s="15"/>
      <c r="I7" s="15"/>
      <c r="J7" s="15"/>
    </row>
    <row r="8">
      <c r="A8" s="17" t="s">
        <v>55</v>
      </c>
      <c r="B8" s="17"/>
      <c r="C8" s="17"/>
      <c r="D8" s="17"/>
      <c r="E8" s="15"/>
      <c r="F8" s="15"/>
      <c r="G8" s="16"/>
      <c r="H8" s="15"/>
      <c r="I8" s="15"/>
      <c r="J8" s="15"/>
    </row>
    <row r="9">
      <c r="A9" s="17" t="s">
        <v>69</v>
      </c>
      <c r="B9" s="17"/>
      <c r="C9" s="17"/>
      <c r="D9" s="17"/>
      <c r="E9" s="15"/>
      <c r="F9" s="15"/>
      <c r="G9" s="16"/>
      <c r="H9" s="15"/>
      <c r="I9" s="15"/>
      <c r="J9" s="15"/>
    </row>
    <row r="10">
      <c r="A10" s="17" t="s">
        <v>56</v>
      </c>
      <c r="B10" s="17"/>
      <c r="C10" s="17"/>
      <c r="D10" s="24"/>
      <c r="E10" s="15"/>
      <c r="F10" s="15"/>
      <c r="G10" s="23"/>
      <c r="H10" s="15"/>
      <c r="I10" s="15"/>
      <c r="J10" s="15"/>
    </row>
    <row r="11">
      <c r="A11" s="17" t="s">
        <v>85</v>
      </c>
      <c r="B11" s="17"/>
      <c r="C11" s="17"/>
      <c r="D11" s="17"/>
      <c r="E11" s="15"/>
      <c r="F11" s="15"/>
      <c r="G11" s="23"/>
      <c r="H11" s="15"/>
      <c r="I11" s="15"/>
      <c r="J11" s="15"/>
    </row>
    <row r="12">
      <c r="A12" s="17" t="s">
        <v>83</v>
      </c>
      <c r="B12" s="17"/>
      <c r="C12" s="17" t="s">
        <v>83</v>
      </c>
      <c r="D12" s="17"/>
      <c r="E12" s="15"/>
      <c r="F12" s="15"/>
      <c r="G12" s="15"/>
      <c r="H12" s="15"/>
      <c r="I12" s="15"/>
      <c r="J12" s="15"/>
    </row>
    <row r="13">
      <c r="A13" s="17"/>
      <c r="B13" s="17" t="s">
        <v>150</v>
      </c>
      <c r="C13" s="18" t="s">
        <v>83</v>
      </c>
      <c r="D13" s="18"/>
      <c r="E13" s="21"/>
      <c r="G13" s="15"/>
      <c r="H13" s="15"/>
      <c r="I13" s="15"/>
      <c r="J13" s="15"/>
    </row>
    <row r="14">
      <c r="A14" s="17" t="s">
        <v>59</v>
      </c>
      <c r="B14" s="17"/>
      <c r="C14" s="17" t="s">
        <v>59</v>
      </c>
      <c r="D14" s="17"/>
      <c r="E14" s="15"/>
      <c r="G14" s="15"/>
      <c r="H14" s="15"/>
      <c r="I14" s="15"/>
      <c r="J14" s="15"/>
    </row>
    <row r="15">
      <c r="A15" s="17"/>
      <c r="B15" s="17" t="s">
        <v>123</v>
      </c>
      <c r="C15" s="17" t="s">
        <v>59</v>
      </c>
      <c r="D15" s="17"/>
      <c r="E15" s="15"/>
      <c r="G15" s="15"/>
      <c r="H15" s="15"/>
      <c r="I15" s="15"/>
      <c r="J15" s="15"/>
    </row>
    <row r="16">
      <c r="A16" s="17" t="s">
        <v>75</v>
      </c>
      <c r="B16" s="17"/>
      <c r="C16" s="17" t="s">
        <v>75</v>
      </c>
      <c r="D16" s="17"/>
      <c r="E16" s="15"/>
      <c r="G16" s="15"/>
      <c r="H16" s="15"/>
      <c r="I16" s="15"/>
      <c r="J16" s="15"/>
    </row>
    <row r="17">
      <c r="A17" s="17"/>
      <c r="B17" s="17" t="s">
        <v>123</v>
      </c>
      <c r="C17" s="17" t="s">
        <v>75</v>
      </c>
      <c r="D17" s="17"/>
      <c r="E17" s="15"/>
      <c r="F17" s="15"/>
      <c r="G17" s="15"/>
      <c r="H17" s="15"/>
      <c r="I17" s="15"/>
      <c r="J17" s="15"/>
    </row>
    <row r="18">
      <c r="A18" s="17"/>
      <c r="B18" s="17" t="s">
        <v>150</v>
      </c>
      <c r="C18" s="17" t="s">
        <v>75</v>
      </c>
      <c r="D18" s="17"/>
      <c r="E18" s="15"/>
      <c r="F18" s="15"/>
      <c r="G18" s="15"/>
      <c r="H18" s="15"/>
      <c r="I18" s="15"/>
      <c r="J18" s="15"/>
    </row>
    <row r="19">
      <c r="A19" s="17"/>
      <c r="B19" s="17" t="s">
        <v>151</v>
      </c>
      <c r="C19" s="17" t="s">
        <v>75</v>
      </c>
      <c r="D19" s="17"/>
      <c r="E19" s="15"/>
      <c r="F19" s="15"/>
      <c r="G19" s="15"/>
      <c r="H19" s="15"/>
      <c r="I19" s="15"/>
      <c r="J19" s="15"/>
    </row>
    <row r="20">
      <c r="A20" s="17" t="s">
        <v>76</v>
      </c>
      <c r="B20" s="17"/>
      <c r="C20" s="17"/>
      <c r="D20" s="17"/>
      <c r="E20" s="15"/>
      <c r="F20" s="15"/>
      <c r="G20" s="15"/>
      <c r="H20" s="15"/>
      <c r="I20" s="15"/>
      <c r="J20" s="15"/>
    </row>
    <row r="21">
      <c r="A21" s="17"/>
      <c r="B21" s="17"/>
      <c r="C21" s="17"/>
      <c r="D21" s="17"/>
      <c r="E21" s="15"/>
      <c r="F21" s="15"/>
      <c r="G21" s="15"/>
      <c r="H21" s="15"/>
      <c r="I21" s="15"/>
      <c r="J21" s="15"/>
    </row>
    <row r="22">
      <c r="A22" s="17" t="s">
        <v>20</v>
      </c>
      <c r="B22" s="17"/>
      <c r="C22" s="17" t="s">
        <v>20</v>
      </c>
      <c r="D22" s="17"/>
      <c r="E22" s="15"/>
      <c r="F22" s="15"/>
      <c r="G22" s="15"/>
      <c r="H22" s="15"/>
      <c r="I22" s="15"/>
      <c r="J22" s="15"/>
    </row>
    <row r="23">
      <c r="A23" s="17"/>
      <c r="B23" s="17" t="s">
        <v>89</v>
      </c>
      <c r="C23" s="17" t="s">
        <v>20</v>
      </c>
      <c r="D23" s="17"/>
      <c r="E23" s="15"/>
      <c r="F23" s="15"/>
      <c r="G23" s="15"/>
      <c r="H23" s="15"/>
      <c r="I23" s="15"/>
      <c r="J23" s="15"/>
    </row>
    <row r="24">
      <c r="A24" s="17"/>
      <c r="B24" s="17" t="s">
        <v>123</v>
      </c>
      <c r="C24" s="17" t="s">
        <v>20</v>
      </c>
      <c r="D24" s="17"/>
      <c r="E24" s="15"/>
      <c r="F24" s="15"/>
      <c r="G24" s="15"/>
      <c r="H24" s="15"/>
      <c r="I24" s="15"/>
      <c r="J24" s="15"/>
    </row>
    <row r="25">
      <c r="A25" s="17"/>
      <c r="B25" s="24" t="s">
        <v>152</v>
      </c>
      <c r="C25" s="17" t="s">
        <v>20</v>
      </c>
      <c r="D25" s="17"/>
      <c r="E25" s="15"/>
      <c r="F25" s="15"/>
      <c r="G25" s="15"/>
      <c r="H25" s="15"/>
      <c r="I25" s="15"/>
      <c r="J25" s="15"/>
    </row>
    <row r="26">
      <c r="A26" s="17"/>
      <c r="B26" s="17" t="s">
        <v>153</v>
      </c>
      <c r="C26" s="17" t="s">
        <v>20</v>
      </c>
      <c r="D26" s="17"/>
      <c r="E26" s="15"/>
      <c r="F26" s="15"/>
      <c r="G26" s="15"/>
      <c r="H26" s="15"/>
      <c r="I26" s="15"/>
      <c r="J26" s="15"/>
    </row>
    <row r="27">
      <c r="A27" s="17"/>
      <c r="B27" s="17" t="s">
        <v>154</v>
      </c>
      <c r="C27" s="17" t="s">
        <v>20</v>
      </c>
      <c r="D27" s="17"/>
      <c r="E27" s="15"/>
      <c r="F27" s="15"/>
      <c r="G27" s="15"/>
      <c r="H27" s="15"/>
      <c r="I27" s="15"/>
      <c r="J27" s="15"/>
    </row>
    <row r="28">
      <c r="A28" s="24" t="s">
        <v>22</v>
      </c>
      <c r="B28" s="17"/>
      <c r="C28" s="17" t="s">
        <v>21</v>
      </c>
      <c r="D28" s="17"/>
      <c r="E28" s="15"/>
      <c r="F28" s="15"/>
      <c r="G28" s="15"/>
      <c r="H28" s="15"/>
      <c r="I28" s="15"/>
      <c r="J28" s="15"/>
    </row>
    <row r="29">
      <c r="A29" s="17" t="s">
        <v>24</v>
      </c>
      <c r="B29" s="17"/>
      <c r="C29" s="17" t="s">
        <v>25</v>
      </c>
      <c r="D29" s="17" t="s">
        <v>24</v>
      </c>
      <c r="E29" s="15"/>
      <c r="F29" s="15"/>
      <c r="G29" s="15"/>
      <c r="H29" s="15"/>
      <c r="I29" s="15"/>
      <c r="J29" s="15"/>
    </row>
    <row r="30">
      <c r="A30" s="17"/>
      <c r="B30" s="17"/>
      <c r="C30" s="17" t="s">
        <v>27</v>
      </c>
      <c r="D30" s="17" t="s">
        <v>24</v>
      </c>
      <c r="E30" s="15"/>
      <c r="F30" s="15"/>
      <c r="G30" s="15"/>
      <c r="H30" s="15"/>
      <c r="I30" s="15"/>
      <c r="J30" s="15"/>
    </row>
    <row r="31">
      <c r="A31" s="17"/>
      <c r="B31" s="17"/>
      <c r="C31" s="17" t="s">
        <v>28</v>
      </c>
      <c r="D31" s="17" t="s">
        <v>24</v>
      </c>
      <c r="E31" s="15"/>
      <c r="F31" s="15"/>
      <c r="G31" s="15"/>
      <c r="H31" s="15"/>
      <c r="I31" s="15"/>
      <c r="J31" s="15"/>
    </row>
    <row r="32">
      <c r="A32" s="17"/>
      <c r="B32" s="24" t="s">
        <v>89</v>
      </c>
      <c r="C32" s="24" t="s">
        <v>28</v>
      </c>
      <c r="D32" s="24" t="s">
        <v>24</v>
      </c>
    </row>
    <row r="33">
      <c r="A33" s="17"/>
      <c r="B33" s="24" t="s">
        <v>155</v>
      </c>
      <c r="C33" s="24" t="s">
        <v>27</v>
      </c>
      <c r="D33" s="24" t="s">
        <v>24</v>
      </c>
    </row>
    <row r="34">
      <c r="A34" s="17"/>
      <c r="B34" s="24" t="s">
        <v>123</v>
      </c>
      <c r="C34" s="24" t="s">
        <v>28</v>
      </c>
      <c r="D34" s="24" t="s">
        <v>24</v>
      </c>
    </row>
    <row r="35">
      <c r="A35" s="17"/>
      <c r="B35" s="24" t="s">
        <v>150</v>
      </c>
      <c r="C35" s="24" t="s">
        <v>25</v>
      </c>
      <c r="D35" s="24" t="s">
        <v>24</v>
      </c>
    </row>
    <row r="36">
      <c r="A36" s="17"/>
      <c r="B36" s="24" t="s">
        <v>156</v>
      </c>
      <c r="C36" s="24" t="s">
        <v>27</v>
      </c>
      <c r="D36" s="24" t="s">
        <v>24</v>
      </c>
    </row>
    <row r="37">
      <c r="A37" s="17" t="s">
        <v>30</v>
      </c>
      <c r="B37" s="24"/>
      <c r="C37" s="24" t="s">
        <v>33</v>
      </c>
      <c r="D37" s="24" t="s">
        <v>30</v>
      </c>
    </row>
    <row r="38">
      <c r="A38" s="17"/>
      <c r="B38" s="24"/>
      <c r="C38" s="24" t="s">
        <v>45</v>
      </c>
      <c r="D38" s="24" t="s">
        <v>30</v>
      </c>
    </row>
    <row r="39">
      <c r="A39" s="17"/>
      <c r="B39" s="24"/>
      <c r="C39" s="24" t="s">
        <v>48</v>
      </c>
      <c r="D39" s="24" t="s">
        <v>30</v>
      </c>
    </row>
    <row r="40">
      <c r="A40" s="17"/>
      <c r="B40" s="24"/>
      <c r="C40" s="24" t="s">
        <v>50</v>
      </c>
      <c r="D40" s="24" t="s">
        <v>30</v>
      </c>
    </row>
    <row r="41">
      <c r="A41" s="17"/>
      <c r="B41" s="24"/>
      <c r="C41" s="24" t="s">
        <v>53</v>
      </c>
      <c r="D41" s="24" t="s">
        <v>30</v>
      </c>
    </row>
    <row r="42">
      <c r="A42" s="17"/>
      <c r="B42" s="24" t="s">
        <v>157</v>
      </c>
      <c r="C42" s="24" t="s">
        <v>33</v>
      </c>
      <c r="D42" s="24" t="s">
        <v>30</v>
      </c>
    </row>
    <row r="43">
      <c r="A43" s="17"/>
      <c r="B43" s="24" t="s">
        <v>157</v>
      </c>
      <c r="C43" s="24" t="s">
        <v>45</v>
      </c>
      <c r="D43" s="24" t="s">
        <v>30</v>
      </c>
    </row>
    <row r="44">
      <c r="A44" s="17"/>
      <c r="B44" s="24" t="s">
        <v>89</v>
      </c>
      <c r="C44" s="24" t="s">
        <v>33</v>
      </c>
      <c r="D44" s="24" t="s">
        <v>30</v>
      </c>
    </row>
    <row r="45">
      <c r="A45" s="24"/>
      <c r="B45" s="24" t="s">
        <v>89</v>
      </c>
      <c r="C45" s="24" t="s">
        <v>50</v>
      </c>
      <c r="D45" s="24" t="s">
        <v>30</v>
      </c>
    </row>
    <row r="46">
      <c r="A46" s="24"/>
      <c r="B46" s="24" t="s">
        <v>89</v>
      </c>
      <c r="C46" s="24" t="s">
        <v>53</v>
      </c>
      <c r="D46" s="24" t="s">
        <v>30</v>
      </c>
    </row>
    <row r="47">
      <c r="A47" s="24"/>
      <c r="B47" s="24" t="s">
        <v>158</v>
      </c>
      <c r="C47" s="24" t="s">
        <v>33</v>
      </c>
      <c r="D47" s="24" t="s">
        <v>30</v>
      </c>
    </row>
    <row r="48">
      <c r="A48" s="24"/>
      <c r="B48" s="24" t="s">
        <v>158</v>
      </c>
      <c r="C48" s="24" t="s">
        <v>30</v>
      </c>
      <c r="D48" s="24" t="s">
        <v>30</v>
      </c>
    </row>
    <row r="49">
      <c r="A49" s="24"/>
      <c r="B49" s="24" t="s">
        <v>158</v>
      </c>
      <c r="C49" s="24" t="s">
        <v>45</v>
      </c>
      <c r="D49" s="24" t="s">
        <v>30</v>
      </c>
    </row>
    <row r="50">
      <c r="A50" s="24"/>
      <c r="B50" s="24" t="s">
        <v>158</v>
      </c>
      <c r="C50" s="24" t="s">
        <v>48</v>
      </c>
      <c r="D50" s="24" t="s">
        <v>30</v>
      </c>
    </row>
    <row r="51">
      <c r="A51" s="24"/>
      <c r="B51" s="24" t="s">
        <v>158</v>
      </c>
      <c r="C51" s="24" t="s">
        <v>53</v>
      </c>
      <c r="D51" s="24" t="s">
        <v>30</v>
      </c>
    </row>
    <row r="52">
      <c r="A52" s="24"/>
      <c r="B52" s="24" t="s">
        <v>123</v>
      </c>
      <c r="C52" s="24" t="s">
        <v>33</v>
      </c>
      <c r="D52" s="24" t="s">
        <v>30</v>
      </c>
    </row>
    <row r="53">
      <c r="A53" s="24"/>
      <c r="B53" s="24" t="s">
        <v>123</v>
      </c>
      <c r="C53" s="24" t="s">
        <v>30</v>
      </c>
      <c r="D53" s="24" t="s">
        <v>30</v>
      </c>
    </row>
    <row r="54">
      <c r="A54" s="24"/>
      <c r="B54" s="24" t="s">
        <v>123</v>
      </c>
      <c r="C54" s="24" t="s">
        <v>45</v>
      </c>
      <c r="D54" s="24" t="s">
        <v>30</v>
      </c>
    </row>
    <row r="55">
      <c r="A55" s="24"/>
      <c r="B55" s="24" t="s">
        <v>123</v>
      </c>
      <c r="C55" s="24" t="s">
        <v>53</v>
      </c>
      <c r="D55" s="24" t="s">
        <v>30</v>
      </c>
    </row>
    <row r="56">
      <c r="A56" s="24"/>
      <c r="B56" s="24" t="s">
        <v>150</v>
      </c>
      <c r="C56" s="24" t="s">
        <v>33</v>
      </c>
      <c r="D56" s="24" t="s">
        <v>30</v>
      </c>
    </row>
    <row r="57">
      <c r="A57" s="24"/>
      <c r="B57" s="24" t="s">
        <v>150</v>
      </c>
      <c r="C57" s="24" t="s">
        <v>45</v>
      </c>
      <c r="D57" s="24" t="s">
        <v>30</v>
      </c>
    </row>
    <row r="58">
      <c r="A58" s="24"/>
      <c r="B58" s="24" t="s">
        <v>159</v>
      </c>
      <c r="C58" s="24" t="s">
        <v>48</v>
      </c>
      <c r="D58" s="24" t="s">
        <v>30</v>
      </c>
    </row>
    <row r="59">
      <c r="A59" s="24"/>
      <c r="B59" s="24" t="s">
        <v>160</v>
      </c>
      <c r="C59" s="24" t="s">
        <v>33</v>
      </c>
      <c r="D59" s="24" t="s">
        <v>30</v>
      </c>
    </row>
    <row r="60">
      <c r="A60" s="24"/>
      <c r="B60" s="24" t="s">
        <v>161</v>
      </c>
      <c r="C60" s="24" t="s">
        <v>33</v>
      </c>
      <c r="D60" s="24" t="s">
        <v>30</v>
      </c>
    </row>
    <row r="61">
      <c r="A61" s="24"/>
      <c r="B61" s="24" t="s">
        <v>161</v>
      </c>
      <c r="C61" s="24" t="s">
        <v>45</v>
      </c>
      <c r="D61" s="24" t="s">
        <v>30</v>
      </c>
    </row>
    <row r="62">
      <c r="A62" s="24"/>
      <c r="B62" s="24" t="s">
        <v>161</v>
      </c>
      <c r="C62" s="24" t="s">
        <v>53</v>
      </c>
      <c r="D62" s="24" t="s">
        <v>30</v>
      </c>
    </row>
    <row r="63">
      <c r="A63" s="24"/>
      <c r="B63" s="24" t="s">
        <v>162</v>
      </c>
      <c r="C63" s="24" t="s">
        <v>33</v>
      </c>
      <c r="D63" s="24" t="s">
        <v>30</v>
      </c>
    </row>
    <row r="64">
      <c r="A64" s="24"/>
      <c r="B64" s="24" t="s">
        <v>162</v>
      </c>
      <c r="C64" s="24" t="s">
        <v>45</v>
      </c>
      <c r="D64" s="24" t="s">
        <v>30</v>
      </c>
    </row>
    <row r="65">
      <c r="A65" s="24"/>
      <c r="B65" s="24" t="s">
        <v>162</v>
      </c>
      <c r="C65" s="24" t="s">
        <v>48</v>
      </c>
      <c r="D65" s="24" t="s">
        <v>30</v>
      </c>
    </row>
    <row r="66">
      <c r="A66" s="24"/>
      <c r="B66" s="24" t="s">
        <v>162</v>
      </c>
      <c r="C66" s="24" t="s">
        <v>50</v>
      </c>
      <c r="D66" s="24" t="s">
        <v>30</v>
      </c>
    </row>
    <row r="67">
      <c r="A67" s="24"/>
      <c r="B67" s="24" t="s">
        <v>162</v>
      </c>
      <c r="C67" s="24" t="s">
        <v>53</v>
      </c>
      <c r="D67" s="24" t="s">
        <v>30</v>
      </c>
    </row>
    <row r="68">
      <c r="A68" s="24"/>
      <c r="B68" s="24" t="s">
        <v>151</v>
      </c>
      <c r="C68" s="24" t="s">
        <v>33</v>
      </c>
      <c r="D68" s="24" t="s">
        <v>30</v>
      </c>
    </row>
    <row r="69">
      <c r="A69" s="24"/>
      <c r="B69" s="24" t="s">
        <v>151</v>
      </c>
      <c r="C69" s="24" t="s">
        <v>30</v>
      </c>
      <c r="D69" s="24" t="s">
        <v>30</v>
      </c>
    </row>
    <row r="70">
      <c r="A70" s="24"/>
      <c r="B70" s="24" t="s">
        <v>151</v>
      </c>
      <c r="C70" s="24" t="s">
        <v>45</v>
      </c>
      <c r="D70" s="24" t="s">
        <v>30</v>
      </c>
    </row>
    <row r="71">
      <c r="A71" s="24"/>
      <c r="B71" s="24" t="s">
        <v>151</v>
      </c>
      <c r="C71" s="24" t="s">
        <v>48</v>
      </c>
      <c r="D71" s="24" t="s">
        <v>30</v>
      </c>
    </row>
    <row r="72">
      <c r="A72" s="24"/>
      <c r="B72" s="24" t="s">
        <v>163</v>
      </c>
      <c r="C72" s="24" t="s">
        <v>33</v>
      </c>
      <c r="D72" s="24" t="s">
        <v>30</v>
      </c>
    </row>
    <row r="73">
      <c r="A73" s="24"/>
      <c r="B73" s="24" t="s">
        <v>163</v>
      </c>
      <c r="C73" s="24" t="s">
        <v>45</v>
      </c>
      <c r="D73" s="24" t="s">
        <v>30</v>
      </c>
    </row>
    <row r="74">
      <c r="A74" s="24"/>
      <c r="B74" s="24" t="s">
        <v>163</v>
      </c>
      <c r="C74" s="24" t="s">
        <v>48</v>
      </c>
      <c r="D74" s="24" t="s">
        <v>30</v>
      </c>
    </row>
    <row r="75">
      <c r="A75" s="24"/>
      <c r="B75" s="24" t="s">
        <v>163</v>
      </c>
      <c r="C75" s="24" t="s">
        <v>50</v>
      </c>
      <c r="D75" s="24" t="s">
        <v>30</v>
      </c>
    </row>
    <row r="76">
      <c r="A76" s="24"/>
      <c r="B76" s="24" t="s">
        <v>163</v>
      </c>
      <c r="C76" s="24" t="s">
        <v>53</v>
      </c>
      <c r="D76" s="24" t="s">
        <v>30</v>
      </c>
    </row>
    <row r="77">
      <c r="A77" s="24"/>
      <c r="B77" s="24" t="s">
        <v>156</v>
      </c>
      <c r="C77" s="24" t="s">
        <v>33</v>
      </c>
      <c r="D77" s="24" t="s">
        <v>30</v>
      </c>
    </row>
    <row r="78">
      <c r="A78" s="24"/>
      <c r="B78" s="24" t="s">
        <v>156</v>
      </c>
      <c r="C78" s="24" t="s">
        <v>45</v>
      </c>
      <c r="D78" s="24" t="s">
        <v>30</v>
      </c>
    </row>
    <row r="79">
      <c r="A79" s="24"/>
      <c r="B79" s="24" t="s">
        <v>156</v>
      </c>
      <c r="C79" s="24" t="s">
        <v>48</v>
      </c>
      <c r="D79" s="24" t="s">
        <v>30</v>
      </c>
    </row>
    <row r="80">
      <c r="A80" s="24"/>
      <c r="B80" s="24" t="s">
        <v>156</v>
      </c>
      <c r="C80" s="24" t="s">
        <v>50</v>
      </c>
      <c r="D80" s="24" t="s">
        <v>30</v>
      </c>
    </row>
    <row r="81">
      <c r="A81" s="24"/>
      <c r="B81" s="24" t="s">
        <v>156</v>
      </c>
      <c r="C81" s="24" t="s">
        <v>53</v>
      </c>
      <c r="D81" s="24" t="s">
        <v>30</v>
      </c>
    </row>
    <row r="82">
      <c r="A82" s="24"/>
      <c r="B82" s="24" t="s">
        <v>164</v>
      </c>
      <c r="C82" s="24" t="s">
        <v>48</v>
      </c>
      <c r="D82" s="24" t="s">
        <v>30</v>
      </c>
    </row>
    <row r="83">
      <c r="A83" s="24"/>
      <c r="B83" s="24" t="s">
        <v>164</v>
      </c>
      <c r="C83" s="24" t="s">
        <v>53</v>
      </c>
      <c r="D83" s="24" t="s">
        <v>30</v>
      </c>
    </row>
    <row r="84">
      <c r="A84" s="24"/>
      <c r="B84" s="24" t="s">
        <v>152</v>
      </c>
      <c r="C84" s="24" t="s">
        <v>30</v>
      </c>
      <c r="D84" s="24" t="s">
        <v>30</v>
      </c>
    </row>
    <row r="85">
      <c r="A85" s="24"/>
      <c r="B85" s="24" t="s">
        <v>152</v>
      </c>
      <c r="C85" s="24" t="s">
        <v>53</v>
      </c>
      <c r="D85" s="24" t="s">
        <v>30</v>
      </c>
    </row>
    <row r="86">
      <c r="A86" s="24"/>
      <c r="B86" s="24" t="s">
        <v>165</v>
      </c>
      <c r="C86" s="24" t="s">
        <v>45</v>
      </c>
      <c r="D86" s="24" t="s">
        <v>30</v>
      </c>
    </row>
    <row r="87">
      <c r="A87" s="24" t="s">
        <v>104</v>
      </c>
      <c r="B87" s="24"/>
      <c r="C87" s="24"/>
      <c r="D87" s="24"/>
    </row>
    <row r="88">
      <c r="A88" s="24" t="s">
        <v>106</v>
      </c>
      <c r="B88" s="24"/>
      <c r="C88" s="24"/>
      <c r="D88" s="24"/>
    </row>
    <row r="89">
      <c r="A89" s="24" t="s">
        <v>166</v>
      </c>
      <c r="B89" s="24"/>
      <c r="C89" s="24"/>
      <c r="D89" s="24"/>
    </row>
    <row r="90">
      <c r="A90" s="24" t="s">
        <v>100</v>
      </c>
      <c r="B90" s="24"/>
      <c r="C90" s="24"/>
      <c r="D90" s="24"/>
    </row>
    <row r="91">
      <c r="A91" s="24" t="s">
        <v>92</v>
      </c>
      <c r="B91" s="24"/>
      <c r="C91" s="24" t="s">
        <v>92</v>
      </c>
      <c r="D91" s="24"/>
    </row>
    <row r="92">
      <c r="A92" s="24"/>
      <c r="B92" s="24" t="s">
        <v>150</v>
      </c>
      <c r="C92" s="24" t="s">
        <v>92</v>
      </c>
      <c r="D92" s="24"/>
    </row>
    <row r="93">
      <c r="A93" s="24" t="s">
        <v>96</v>
      </c>
      <c r="B93" s="24"/>
      <c r="C93" s="24" t="s">
        <v>108</v>
      </c>
      <c r="D93" s="24" t="s">
        <v>96</v>
      </c>
    </row>
    <row r="94">
      <c r="A94" s="24"/>
      <c r="B94" s="24"/>
      <c r="C94" s="24" t="s">
        <v>111</v>
      </c>
      <c r="D94" s="24" t="s">
        <v>96</v>
      </c>
    </row>
    <row r="95">
      <c r="A95" s="24"/>
      <c r="B95" s="24"/>
      <c r="C95" s="24" t="s">
        <v>113</v>
      </c>
      <c r="D95" s="24" t="s">
        <v>96</v>
      </c>
    </row>
    <row r="96">
      <c r="A96" s="24"/>
      <c r="B96" s="24" t="s">
        <v>151</v>
      </c>
      <c r="C96" s="24" t="s">
        <v>111</v>
      </c>
      <c r="D96" s="24" t="s">
        <v>96</v>
      </c>
    </row>
    <row r="97">
      <c r="A97" s="24" t="s">
        <v>107</v>
      </c>
      <c r="B97" s="24"/>
      <c r="C97" s="24" t="s">
        <v>107</v>
      </c>
      <c r="D97" s="24"/>
    </row>
    <row r="98">
      <c r="A98" s="24"/>
      <c r="B98" s="24" t="s">
        <v>167</v>
      </c>
      <c r="C98" s="24" t="s">
        <v>107</v>
      </c>
      <c r="D98" s="24"/>
    </row>
    <row r="99">
      <c r="A99" s="24"/>
      <c r="B99" s="24" t="s">
        <v>123</v>
      </c>
      <c r="C99" s="24" t="s">
        <v>107</v>
      </c>
      <c r="D99" s="24"/>
    </row>
    <row r="100">
      <c r="A100" s="24"/>
      <c r="B100" s="24" t="s">
        <v>150</v>
      </c>
      <c r="C100" s="24" t="s">
        <v>107</v>
      </c>
      <c r="D100" s="24"/>
    </row>
    <row r="101">
      <c r="A101" s="24"/>
      <c r="B101" s="24" t="s">
        <v>165</v>
      </c>
      <c r="C101" s="24" t="s">
        <v>107</v>
      </c>
      <c r="D101" s="24"/>
    </row>
    <row r="102">
      <c r="A102" s="24" t="s">
        <v>112</v>
      </c>
      <c r="B102" s="24"/>
      <c r="C102" s="24" t="s">
        <v>112</v>
      </c>
      <c r="D102" s="24"/>
    </row>
    <row r="103">
      <c r="A103" s="24"/>
      <c r="B103" s="24" t="s">
        <v>168</v>
      </c>
      <c r="C103" s="24" t="s">
        <v>112</v>
      </c>
      <c r="D103" s="24"/>
    </row>
    <row r="104">
      <c r="A104" s="24" t="s">
        <v>116</v>
      </c>
      <c r="B104" s="24"/>
      <c r="C104" s="24" t="s">
        <v>53</v>
      </c>
      <c r="D104" s="24" t="s">
        <v>30</v>
      </c>
    </row>
    <row r="105">
      <c r="A105" s="24"/>
      <c r="B105" s="24" t="s">
        <v>89</v>
      </c>
      <c r="C105" s="24" t="s">
        <v>53</v>
      </c>
      <c r="D105" s="24" t="s">
        <v>30</v>
      </c>
    </row>
    <row r="106">
      <c r="A106" s="24"/>
      <c r="B106" s="24" t="s">
        <v>158</v>
      </c>
      <c r="C106" s="24" t="s">
        <v>53</v>
      </c>
      <c r="D106" s="24" t="s">
        <v>30</v>
      </c>
    </row>
    <row r="107">
      <c r="A107" s="24"/>
      <c r="B107" s="24" t="s">
        <v>123</v>
      </c>
      <c r="C107" s="24" t="s">
        <v>53</v>
      </c>
      <c r="D107" s="24" t="s">
        <v>30</v>
      </c>
    </row>
    <row r="108">
      <c r="A108" s="24"/>
      <c r="B108" s="24" t="s">
        <v>161</v>
      </c>
      <c r="C108" s="24" t="s">
        <v>53</v>
      </c>
      <c r="D108" s="24" t="s">
        <v>30</v>
      </c>
    </row>
    <row r="109">
      <c r="A109" s="24"/>
      <c r="B109" s="24" t="s">
        <v>162</v>
      </c>
      <c r="C109" s="24" t="s">
        <v>53</v>
      </c>
      <c r="D109" s="24" t="s">
        <v>30</v>
      </c>
    </row>
    <row r="110">
      <c r="A110" s="24"/>
      <c r="B110" s="24" t="s">
        <v>163</v>
      </c>
      <c r="C110" s="24" t="s">
        <v>53</v>
      </c>
      <c r="D110" s="24" t="s">
        <v>30</v>
      </c>
    </row>
    <row r="111">
      <c r="A111" s="24"/>
      <c r="B111" s="24" t="s">
        <v>156</v>
      </c>
      <c r="C111" s="24" t="s">
        <v>53</v>
      </c>
      <c r="D111" s="24" t="s">
        <v>30</v>
      </c>
    </row>
    <row r="112">
      <c r="A112" s="24"/>
      <c r="B112" s="24" t="s">
        <v>164</v>
      </c>
      <c r="C112" s="24" t="s">
        <v>53</v>
      </c>
      <c r="D112" s="24" t="s">
        <v>30</v>
      </c>
    </row>
    <row r="113">
      <c r="A113" s="24"/>
      <c r="B113" s="24" t="s">
        <v>152</v>
      </c>
      <c r="C113" s="24" t="s">
        <v>53</v>
      </c>
      <c r="D113" s="24" t="s">
        <v>30</v>
      </c>
    </row>
    <row r="114">
      <c r="A114" s="24"/>
      <c r="B114" s="24"/>
      <c r="C114" s="24"/>
      <c r="D114" s="24"/>
    </row>
    <row r="115">
      <c r="A115" s="24" t="s">
        <v>15</v>
      </c>
      <c r="B115" s="24"/>
      <c r="C115" s="24" t="s">
        <v>15</v>
      </c>
      <c r="D115" s="24"/>
    </row>
    <row r="116">
      <c r="A116" s="24" t="s">
        <v>54</v>
      </c>
      <c r="B116" s="24"/>
      <c r="C116" s="24" t="s">
        <v>54</v>
      </c>
      <c r="D116" s="24"/>
    </row>
    <row r="117">
      <c r="A117" s="24" t="s">
        <v>60</v>
      </c>
      <c r="B117" s="24"/>
      <c r="C117" s="24" t="s">
        <v>58</v>
      </c>
      <c r="D117" s="24"/>
    </row>
    <row r="118">
      <c r="A118" s="24" t="s">
        <v>64</v>
      </c>
      <c r="B118" s="24"/>
      <c r="C118" s="24"/>
      <c r="D118" s="24"/>
    </row>
    <row r="119">
      <c r="A119" s="24" t="s">
        <v>130</v>
      </c>
      <c r="B119" s="24"/>
      <c r="C119" s="24"/>
      <c r="D119" s="24"/>
    </row>
    <row r="120">
      <c r="A120" s="24" t="s">
        <v>94</v>
      </c>
      <c r="B120" s="24"/>
      <c r="C120" s="24" t="s">
        <v>94</v>
      </c>
      <c r="D120" s="24"/>
    </row>
    <row r="121">
      <c r="A121" s="24" t="s">
        <v>101</v>
      </c>
      <c r="B121" s="24"/>
      <c r="C121" s="24" t="s">
        <v>101</v>
      </c>
      <c r="D121" s="24"/>
    </row>
    <row r="122">
      <c r="A122" s="24" t="s">
        <v>102</v>
      </c>
      <c r="B122" s="24"/>
      <c r="C122" s="24"/>
      <c r="D122" s="24"/>
    </row>
    <row r="123">
      <c r="A123" s="24" t="s">
        <v>103</v>
      </c>
      <c r="B123" s="24"/>
      <c r="C123" s="24"/>
      <c r="D123" s="24"/>
    </row>
    <row r="124">
      <c r="A124" s="24" t="s">
        <v>105</v>
      </c>
      <c r="B124" s="24"/>
      <c r="C124" s="24"/>
      <c r="D124" s="24"/>
    </row>
    <row r="125">
      <c r="A125" s="24" t="s">
        <v>115</v>
      </c>
      <c r="B125" s="24"/>
      <c r="C125" s="24" t="s">
        <v>115</v>
      </c>
      <c r="D125" s="24"/>
    </row>
    <row r="126">
      <c r="A126" s="24"/>
      <c r="B126" s="24" t="s">
        <v>89</v>
      </c>
      <c r="C126" s="24" t="s">
        <v>115</v>
      </c>
      <c r="D126" s="24"/>
    </row>
    <row r="127">
      <c r="A127" s="24"/>
      <c r="B127" s="24" t="s">
        <v>162</v>
      </c>
      <c r="C127" s="24" t="s">
        <v>115</v>
      </c>
      <c r="D127" s="24"/>
    </row>
    <row r="128">
      <c r="A128" s="24"/>
      <c r="B128" s="24" t="s">
        <v>151</v>
      </c>
      <c r="C128" s="24" t="s">
        <v>115</v>
      </c>
      <c r="D128" s="24"/>
    </row>
    <row r="129">
      <c r="A129" s="24"/>
      <c r="B129" s="24" t="s">
        <v>163</v>
      </c>
      <c r="C129" s="24" t="s">
        <v>115</v>
      </c>
      <c r="D129" s="24"/>
    </row>
    <row r="130">
      <c r="A130" s="24"/>
      <c r="B130" s="24" t="s">
        <v>156</v>
      </c>
      <c r="C130" s="24" t="s">
        <v>115</v>
      </c>
      <c r="D130" s="24"/>
    </row>
    <row r="131">
      <c r="A131" s="24"/>
      <c r="B131" s="24" t="s">
        <v>152</v>
      </c>
      <c r="C131" s="24" t="s">
        <v>115</v>
      </c>
      <c r="D131" s="24"/>
    </row>
    <row r="132">
      <c r="A132" s="24"/>
      <c r="B132" s="24" t="s">
        <v>153</v>
      </c>
      <c r="C132" s="24" t="s">
        <v>115</v>
      </c>
      <c r="D132" s="24"/>
    </row>
    <row r="133">
      <c r="A133" s="24"/>
      <c r="B133" s="24" t="s">
        <v>154</v>
      </c>
      <c r="C133" s="24" t="s">
        <v>115</v>
      </c>
      <c r="D133" s="24"/>
    </row>
    <row r="134">
      <c r="A134" s="24" t="s">
        <v>119</v>
      </c>
      <c r="B134" s="24"/>
      <c r="C134" s="24" t="s">
        <v>119</v>
      </c>
      <c r="D134" s="24"/>
    </row>
    <row r="135">
      <c r="A135" s="24"/>
      <c r="B135" s="24" t="s">
        <v>123</v>
      </c>
      <c r="C135" s="24" t="s">
        <v>119</v>
      </c>
      <c r="D135" s="24"/>
    </row>
    <row r="136">
      <c r="A136" s="24" t="s">
        <v>120</v>
      </c>
      <c r="B136" s="24"/>
      <c r="C136" s="24"/>
      <c r="D136" s="24"/>
    </row>
    <row r="137">
      <c r="A137" s="24" t="s">
        <v>126</v>
      </c>
      <c r="B137" s="24"/>
      <c r="C137" s="24" t="s">
        <v>126</v>
      </c>
      <c r="D137" s="24"/>
    </row>
    <row r="138">
      <c r="A138" s="24"/>
      <c r="B138" s="24" t="s">
        <v>123</v>
      </c>
      <c r="C138" s="24" t="s">
        <v>126</v>
      </c>
      <c r="D138" s="24"/>
    </row>
    <row r="139">
      <c r="A139" s="24" t="s">
        <v>129</v>
      </c>
      <c r="B139" s="24"/>
      <c r="C139" s="24" t="s">
        <v>129</v>
      </c>
      <c r="D139" s="24"/>
    </row>
    <row r="140">
      <c r="A140" s="24" t="s">
        <v>78</v>
      </c>
      <c r="B140" s="24"/>
      <c r="C140" s="24"/>
      <c r="D140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A1" s="9" t="s">
        <v>33</v>
      </c>
      <c r="B1" s="26" t="str">
        <f t="array" ref="B1">IFERROR(INDEX($F$1:$F$140,MATCH(A1,'Сотношение'!$C$1:$C$140,0)),IFERROR(INDEX($F$1:$F$140,MATCH(A1,$F$1:$F$140,0)),"НЕ НАЙДЕНО"))</f>
        <v>Зарплата</v>
      </c>
      <c r="F1" s="26" t="str">
        <f t="array" ref="F1:F140">SCAN("",'Сотношение'!A1:A140,LAMBDA(acc,cur,IF(cur&lt;&gt;"",cur,acc)))</f>
        <v>Группа </v>
      </c>
    </row>
    <row r="2">
      <c r="A2" s="9" t="s">
        <v>13</v>
      </c>
      <c r="B2" s="27" t="str">
        <f t="array" ref="B2">IFERROR(INDEX($F$1:$F$140,MATCH(A2,'Сотношение'!$C$1:$C$140,0)),IFERROR(INDEX($F$1:$F$140,MATCH(A2,$F$1:$F$140,0)),"НЕ НАЙДЕНО"))</f>
        <v>Агентские вознаграждения</v>
      </c>
      <c r="F2" s="15" t="s">
        <v>13</v>
      </c>
    </row>
    <row r="3">
      <c r="A3" s="9" t="s">
        <v>14</v>
      </c>
      <c r="B3" s="26" t="str">
        <f t="array" ref="B3">IFERROR(INDEX($F$1:$F$140,MATCH(A3,'Сотношение'!$C$1:$C$140,0)),IFERROR(INDEX($F$1:$F$140,MATCH(A3,$F$1:$F$140,0)),"НЕ НАЙДЕНО"))</f>
        <v>Агрегаторы</v>
      </c>
      <c r="F3" s="15" t="s">
        <v>14</v>
      </c>
    </row>
    <row r="4">
      <c r="A4" s="9" t="s">
        <v>15</v>
      </c>
      <c r="B4" s="26" t="str">
        <f t="array" ref="B4">IFERROR(INDEX($F$1:$F$140,MATCH(A4,'Сотношение'!$C$1:$C$140,0)),IFERROR(INDEX($F$1:$F$140,MATCH(A4,$F$1:$F$140,0)),"НЕ НАЙДЕНО"))</f>
        <v>Административные подрядчики</v>
      </c>
      <c r="F4" s="15" t="s">
        <v>14</v>
      </c>
    </row>
    <row r="5">
      <c r="A5" s="9" t="s">
        <v>87</v>
      </c>
      <c r="B5" s="26" t="str">
        <f t="array" ref="B5">IFERROR(INDEX($F$1:$F$140,MATCH(A5,'Сотношение'!$C$1:$C$140,0)),IFERROR(INDEX($F$1:$F$140,MATCH(A5,$F$1:$F$140,0)),"НЕ НАЙДЕНО"))</f>
        <v>НЕ НАЙДЕНО</v>
      </c>
      <c r="F5" s="15" t="s">
        <v>16</v>
      </c>
    </row>
    <row r="6">
      <c r="A6" s="9" t="s">
        <v>16</v>
      </c>
      <c r="B6" s="26" t="str">
        <f t="array" ref="B6">IFERROR(INDEX($F$1:$F$140,MATCH(A6,'Сотношение'!$C$1:$C$140,0)),IFERROR(INDEX($F$1:$F$140,MATCH(A6,$F$1:$F$140,0)),"НЕ НАЙДЕНО"))</f>
        <v>Банковское обслуживание</v>
      </c>
      <c r="F6" s="15" t="s">
        <v>62</v>
      </c>
    </row>
    <row r="7">
      <c r="A7" s="9" t="s">
        <v>131</v>
      </c>
      <c r="B7" s="26" t="str">
        <f t="array" ref="B7">IFERROR(INDEX($F$1:$F$140,MATCH(A7,'Сотношение'!$C$1:$C$140,0)),IFERROR(INDEX($F$1:$F$140,MATCH(A7,$F$1:$F$140,0)),"НЕ НАЙДЕНО"))</f>
        <v>НЕ НАЙДЕНО</v>
      </c>
      <c r="F7" s="15" t="s">
        <v>62</v>
      </c>
    </row>
    <row r="8">
      <c r="A8" s="9" t="s">
        <v>108</v>
      </c>
      <c r="B8" s="26" t="str">
        <f t="array" ref="B8">IFERROR(INDEX($F$1:$F$140,MATCH(A8,'Сотношение'!$C$1:$C$140,0)),IFERROR(INDEX($F$1:$F$140,MATCH(A8,$F$1:$F$140,0)),"НЕ НАЙДЕНО"))</f>
        <v>Рекламный бюджет</v>
      </c>
      <c r="F8" s="15" t="s">
        <v>55</v>
      </c>
    </row>
    <row r="9">
      <c r="A9" s="9" t="s">
        <v>70</v>
      </c>
      <c r="B9" s="26" t="str">
        <f t="array" ref="B9">IFERROR(INDEX($F$1:$F$140,MATCH(A9,'Сотношение'!$C$1:$C$140,0)),IFERROR(INDEX($F$1:$F$140,MATCH(A9,$F$1:$F$140,0)),"НЕ НАЙДЕНО"))</f>
        <v>НЕ НАЙДЕНО</v>
      </c>
      <c r="F9" s="15" t="s">
        <v>69</v>
      </c>
    </row>
    <row r="10">
      <c r="A10" s="9" t="s">
        <v>133</v>
      </c>
      <c r="B10" s="26" t="str">
        <f t="array" ref="B10">IFERROR(INDEX($F$1:$F$140,MATCH(A10,'Сотношение'!$C$1:$C$140,0)),IFERROR(INDEX($F$1:$F$140,MATCH(A10,$F$1:$F$140,0)),"НЕ НАЙДЕНО"))</f>
        <v>НЕ НАЙДЕНО</v>
      </c>
      <c r="F10" s="15" t="s">
        <v>56</v>
      </c>
    </row>
    <row r="11">
      <c r="A11" s="9" t="s">
        <v>20</v>
      </c>
      <c r="B11" s="26" t="str">
        <f t="array" ref="B11">IFERROR(INDEX($F$1:$F$140,MATCH(A11,'Сотношение'!$C$1:$C$140,0)),IFERROR(INDEX($F$1:$F$140,MATCH(A11,$F$1:$F$140,0)),"НЕ НАЙДЕНО"))</f>
        <v>Возврат клиентам</v>
      </c>
      <c r="F11" s="15" t="s">
        <v>85</v>
      </c>
    </row>
    <row r="12">
      <c r="A12" s="9" t="s">
        <v>25</v>
      </c>
      <c r="B12" s="26" t="str">
        <f t="array" ref="B12">IFERROR(INDEX($F$1:$F$140,MATCH(A12,'Сотношение'!$C$1:$C$140,0)),IFERROR(INDEX($F$1:$F$140,MATCH(A12,$F$1:$F$140,0)),"НЕ НАЙДЕНО"))</f>
        <v>Закуп сырья</v>
      </c>
      <c r="F12" s="15" t="s">
        <v>83</v>
      </c>
    </row>
    <row r="13">
      <c r="A13" s="9" t="s">
        <v>21</v>
      </c>
      <c r="B13" s="26" t="str">
        <f t="array" ref="B13">IFERROR(INDEX($F$1:$F$140,MATCH(A13,'Сотношение'!$C$1:$C$140,0)),IFERROR(INDEX($F$1:$F$140,MATCH(A13,$F$1:$F$140,0)),"НЕ НАЙДЕНО"))</f>
        <v>Вывод прибыли (дивиденды)</v>
      </c>
      <c r="F13" s="15" t="s">
        <v>83</v>
      </c>
    </row>
    <row r="14">
      <c r="A14" s="9" t="s">
        <v>95</v>
      </c>
      <c r="B14" s="26" t="str">
        <f t="array" ref="B14">IFERROR(INDEX($F$1:$F$140,MATCH(A14,'Сотношение'!$C$1:$C$140,0)),IFERROR(INDEX($F$1:$F$140,MATCH(A14,$F$1:$F$140,0)),"НЕ НАЙДЕНО"))</f>
        <v>НЕ НАЙДЕНО</v>
      </c>
      <c r="F14" s="15" t="s">
        <v>59</v>
      </c>
    </row>
    <row r="15">
      <c r="A15" s="9" t="s">
        <v>30</v>
      </c>
      <c r="B15" s="26" t="str">
        <f t="array" ref="B15">IFERROR(INDEX($F$1:$F$140,MATCH(A15,'Сотношение'!$C$1:$C$140,0)),IFERROR(INDEX($F$1:$F$140,MATCH(A15,$F$1:$F$140,0)),"НЕ НАЙДЕНО"))</f>
        <v>Зарплата</v>
      </c>
      <c r="F15" s="15" t="s">
        <v>59</v>
      </c>
    </row>
    <row r="16">
      <c r="A16" s="9" t="s">
        <v>45</v>
      </c>
      <c r="B16" s="26" t="str">
        <f t="array" ref="B16">IFERROR(INDEX($F$1:$F$140,MATCH(A16,'Сотношение'!$C$1:$C$140,0)),IFERROR(INDEX($F$1:$F$140,MATCH(A16,$F$1:$F$140,0)),"НЕ НАЙДЕНО"))</f>
        <v>Зарплата</v>
      </c>
      <c r="F16" s="15" t="s">
        <v>75</v>
      </c>
    </row>
    <row r="17">
      <c r="A17" s="9" t="s">
        <v>111</v>
      </c>
      <c r="B17" s="26" t="str">
        <f t="array" ref="B17">IFERROR(INDEX($F$1:$F$140,MATCH(A17,'Сотношение'!$C$1:$C$140,0)),IFERROR(INDEX($F$1:$F$140,MATCH(A17,$F$1:$F$140,0)),"НЕ НАЙДЕНО"))</f>
        <v>Рекламный бюджет</v>
      </c>
      <c r="F17" s="15" t="s">
        <v>75</v>
      </c>
    </row>
    <row r="18">
      <c r="A18" s="9" t="s">
        <v>54</v>
      </c>
      <c r="B18" s="26" t="str">
        <f t="array" ref="B18">IFERROR(INDEX($F$1:$F$140,MATCH(A18,'Сотношение'!$C$1:$C$140,0)),IFERROR(INDEX($F$1:$F$140,MATCH(A18,$F$1:$F$140,0)),"НЕ НАЙДЕНО"))</f>
        <v>Канцтовары</v>
      </c>
      <c r="F18" s="15" t="s">
        <v>75</v>
      </c>
    </row>
    <row r="19">
      <c r="A19" s="9" t="s">
        <v>58</v>
      </c>
      <c r="B19" s="26" t="str">
        <f t="array" ref="B19">IFERROR(INDEX($F$1:$F$140,MATCH(A19,'Сотношение'!$C$1:$C$140,0)),IFERROR(INDEX($F$1:$F$140,MATCH(A19,$F$1:$F$140,0)),"НЕ НАЙДЕНО"))</f>
        <v>Командировочные</v>
      </c>
      <c r="F19" s="15" t="s">
        <v>75</v>
      </c>
    </row>
    <row r="20">
      <c r="A20" s="9" t="s">
        <v>62</v>
      </c>
      <c r="B20" s="26" t="str">
        <f t="array" ref="B20">IFERROR(INDEX($F$1:$F$140,MATCH(A20,'Сотношение'!$C$1:$C$140,0)),IFERROR(INDEX($F$1:$F$140,MATCH(A20,$F$1:$F$140,0)),"НЕ НАЙДЕНО"))</f>
        <v>Комиссия по эквайрингу</v>
      </c>
      <c r="F20" s="15" t="s">
        <v>76</v>
      </c>
    </row>
    <row r="21">
      <c r="A21" s="9" t="s">
        <v>91</v>
      </c>
      <c r="B21" s="26" t="str">
        <f t="array" ref="B21">IFERROR(INDEX($F$1:$F$140,MATCH(A21,'Сотношение'!$C$1:$C$140,0)),IFERROR(INDEX($F$1:$F$140,MATCH(A21,$F$1:$F$140,0)),"НЕ НАЙДЕНО"))</f>
        <v>НЕ НАЙДЕНО</v>
      </c>
      <c r="F21" s="15" t="s">
        <v>76</v>
      </c>
    </row>
    <row r="22">
      <c r="A22" s="9" t="s">
        <v>113</v>
      </c>
      <c r="B22" s="26" t="str">
        <f t="array" ref="B22">IFERROR(INDEX($F$1:$F$140,MATCH(A22,'Сотношение'!$C$1:$C$140,0)),IFERROR(INDEX($F$1:$F$140,MATCH(A22,$F$1:$F$140,0)),"НЕ НАЙДЕНО"))</f>
        <v>Рекламный бюджет</v>
      </c>
      <c r="F22" s="15" t="s">
        <v>20</v>
      </c>
    </row>
    <row r="23">
      <c r="A23" s="9" t="s">
        <v>63</v>
      </c>
      <c r="B23" s="26" t="str">
        <f t="array" ref="B23">IFERROR(INDEX($F$1:$F$140,MATCH(A23,'Сотношение'!$C$1:$C$140,0)),IFERROR(INDEX($F$1:$F$140,MATCH(A23,$F$1:$F$140,0)),"НЕ НАЙДЕНО"))</f>
        <v>НЕ НАЙДЕНО</v>
      </c>
      <c r="F23" s="15" t="s">
        <v>20</v>
      </c>
    </row>
    <row r="24">
      <c r="A24" s="9" t="s">
        <v>66</v>
      </c>
      <c r="B24" s="26" t="str">
        <f t="array" ref="B24">IFERROR(INDEX($F$1:$F$140,MATCH(A24,'Сотношение'!$C$1:$C$140,0)),IFERROR(INDEX($F$1:$F$140,MATCH(A24,$F$1:$F$140,0)),"НЕ НАЙДЕНО"))</f>
        <v>НЕ НАЙДЕНО</v>
      </c>
      <c r="F24" s="15" t="s">
        <v>20</v>
      </c>
    </row>
    <row r="25">
      <c r="A25" s="9" t="s">
        <v>73</v>
      </c>
      <c r="B25" s="26" t="str">
        <f t="array" ref="B25">IFERROR(INDEX($F$1:$F$140,MATCH(A25,'Сотношение'!$C$1:$C$140,0)),IFERROR(INDEX($F$1:$F$140,MATCH(A25,$F$1:$F$140,0)),"НЕ НАЙДЕНО"))</f>
        <v>НЕ НАЙДЕНО</v>
      </c>
      <c r="F25" s="15" t="s">
        <v>20</v>
      </c>
    </row>
    <row r="26">
      <c r="A26" s="9" t="s">
        <v>138</v>
      </c>
      <c r="B26" s="26" t="str">
        <f t="array" ref="B26">IFERROR(INDEX($F$1:$F$140,MATCH(A26,'Сотношение'!$C$1:$C$140,0)),IFERROR(INDEX($F$1:$F$140,MATCH(A26,$F$1:$F$140,0)),"НЕ НАЙДЕНО"))</f>
        <v>НЕ НАЙДЕНО</v>
      </c>
      <c r="F26" s="15" t="s">
        <v>20</v>
      </c>
    </row>
    <row r="27">
      <c r="A27" s="9" t="s">
        <v>27</v>
      </c>
      <c r="B27" s="26" t="str">
        <f t="array" ref="B27">IFERROR(INDEX($F$1:$F$140,MATCH(A27,'Сотношение'!$C$1:$C$140,0)),IFERROR(INDEX($F$1:$F$140,MATCH(A27,$F$1:$F$140,0)),"НЕ НАЙДЕНО"))</f>
        <v>Закуп сырья</v>
      </c>
      <c r="F27" s="15" t="s">
        <v>20</v>
      </c>
    </row>
    <row r="28">
      <c r="A28" s="9" t="s">
        <v>48</v>
      </c>
      <c r="B28" s="26" t="str">
        <f t="array" ref="B28">IFERROR(INDEX($F$1:$F$140,MATCH(A28,'Сотношение'!$C$1:$C$140,0)),IFERROR(INDEX($F$1:$F$140,MATCH(A28,$F$1:$F$140,0)),"НЕ НАЙДЕНО"))</f>
        <v>Зарплата</v>
      </c>
      <c r="F28" s="26" t="s">
        <v>22</v>
      </c>
    </row>
    <row r="29">
      <c r="A29" s="9" t="s">
        <v>92</v>
      </c>
      <c r="B29" s="26" t="str">
        <f t="array" ref="B29">IFERROR(INDEX($F$1:$F$140,MATCH(A29,'Сотношение'!$C$1:$C$140,0)),IFERROR(INDEX($F$1:$F$140,MATCH(A29,$F$1:$F$140,0)),"НЕ НАЙДЕНО"))</f>
        <v>Официанты</v>
      </c>
      <c r="F29" s="15" t="s">
        <v>24</v>
      </c>
    </row>
    <row r="30">
      <c r="A30" s="9" t="s">
        <v>94</v>
      </c>
      <c r="B30" s="26" t="str">
        <f t="array" ref="B30">IFERROR(INDEX($F$1:$F$140,MATCH(A30,'Сотношение'!$C$1:$C$140,0)),IFERROR(INDEX($F$1:$F$140,MATCH(A30,$F$1:$F$140,0)),"НЕ НАЙДЕНО"))</f>
        <v>Платежи в бюджет</v>
      </c>
      <c r="F30" s="15" t="s">
        <v>24</v>
      </c>
    </row>
    <row r="31">
      <c r="A31" s="9" t="s">
        <v>101</v>
      </c>
      <c r="B31" s="26" t="str">
        <f t="array" ref="B31">IFERROR(INDEX($F$1:$F$140,MATCH(A31,'Сотношение'!$C$1:$C$140,0)),IFERROR(INDEX($F$1:$F$140,MATCH(A31,$F$1:$F$140,0)),"НЕ НАЙДЕНО"))</f>
        <v>Поиск и найм персонала</v>
      </c>
      <c r="F31" s="15" t="s">
        <v>24</v>
      </c>
    </row>
    <row r="32">
      <c r="A32" s="9" t="s">
        <v>141</v>
      </c>
      <c r="B32" s="26" t="str">
        <f t="array" ref="B32">IFERROR(INDEX($F$1:$F$140,MATCH(A32,'Сотношение'!$C$1:$C$140,0)),IFERROR(INDEX($F$1:$F$140,MATCH(A32,$F$1:$F$140,0)),"НЕ НАЙДЕНО"))</f>
        <v>НЕ НАЙДЕНО</v>
      </c>
      <c r="F32" s="15" t="s">
        <v>24</v>
      </c>
    </row>
    <row r="33">
      <c r="A33" s="9" t="s">
        <v>143</v>
      </c>
      <c r="B33" s="26" t="str">
        <f t="array" ref="B33">IFERROR(INDEX($F$1:$F$140,MATCH(A33,'Сотношение'!$C$1:$C$140,0)),IFERROR(INDEX($F$1:$F$140,MATCH(A33,$F$1:$F$140,0)),"НЕ НАЙДЕНО"))</f>
        <v>НЕ НАЙДЕНО</v>
      </c>
      <c r="F33" s="15" t="s">
        <v>24</v>
      </c>
    </row>
    <row r="34">
      <c r="A34" s="9" t="s">
        <v>98</v>
      </c>
      <c r="B34" s="26" t="str">
        <f t="array" ref="B34">IFERROR(INDEX($F$1:$F$140,MATCH(A34,'Сотношение'!$C$1:$C$140,0)),IFERROR(INDEX($F$1:$F$140,MATCH(A34,$F$1:$F$140,0)),"НЕ НАЙДЕНО"))</f>
        <v>НЕ НАЙДЕНО</v>
      </c>
      <c r="F34" s="15" t="s">
        <v>24</v>
      </c>
    </row>
    <row r="35">
      <c r="A35" s="9" t="s">
        <v>127</v>
      </c>
      <c r="B35" s="26" t="str">
        <f t="array" ref="B35">IFERROR(INDEX($F$1:$F$140,MATCH(A35,'Сотношение'!$C$1:$C$140,0)),IFERROR(INDEX($F$1:$F$140,MATCH(A35,$F$1:$F$140,0)),"НЕ НАЙДЕНО"))</f>
        <v>НЕ НАЙДЕНО</v>
      </c>
      <c r="F35" s="15" t="s">
        <v>24</v>
      </c>
    </row>
    <row r="36">
      <c r="A36" s="9" t="s">
        <v>83</v>
      </c>
      <c r="B36" s="26" t="str">
        <f t="array" ref="B36">IFERROR(INDEX($F$1:$F$140,MATCH(A36,'Сотношение'!$C$1:$C$140,0)),IFERROR(INDEX($F$1:$F$140,MATCH(A36,$F$1:$F$140,0)),"НЕ НАЙДЕНО"))</f>
        <v>Расходы на программное обеспечение</v>
      </c>
      <c r="F36" s="15" t="s">
        <v>24</v>
      </c>
    </row>
    <row r="37">
      <c r="A37" s="9" t="s">
        <v>147</v>
      </c>
      <c r="B37" s="26" t="str">
        <f t="array" ref="B37">IFERROR(INDEX($F$1:$F$140,MATCH(A37,'Сотношение'!$C$1:$C$140,0)),IFERROR(INDEX($F$1:$F$140,MATCH(A37,$F$1:$F$140,0)),"НЕ НАЙДЕНО"))</f>
        <v>НЕ НАЙДЕНО</v>
      </c>
      <c r="F37" s="15" t="s">
        <v>30</v>
      </c>
    </row>
    <row r="38">
      <c r="A38" s="9" t="s">
        <v>50</v>
      </c>
      <c r="B38" s="26" t="str">
        <f t="array" ref="B38">IFERROR(INDEX($F$1:$F$140,MATCH(A38,'Сотношение'!$C$1:$C$140,0)),IFERROR(INDEX($F$1:$F$140,MATCH(A38,$F$1:$F$140,0)),"НЕ НАЙДЕНО"))</f>
        <v>Зарплата</v>
      </c>
      <c r="F38" s="15" t="s">
        <v>30</v>
      </c>
    </row>
    <row r="39">
      <c r="A39" s="9" t="s">
        <v>115</v>
      </c>
      <c r="B39" s="26" t="str">
        <f t="array" ref="B39">IFERROR(INDEX($F$1:$F$140,MATCH(A39,'Сотношение'!$C$1:$C$140,0)),IFERROR(INDEX($F$1:$F$140,MATCH(A39,$F$1:$F$140,0)),"НЕ НАЙДЕНО"))</f>
        <v>Содержание объектов</v>
      </c>
      <c r="F39" s="15" t="s">
        <v>30</v>
      </c>
    </row>
    <row r="40">
      <c r="A40" s="9" t="s">
        <v>119</v>
      </c>
      <c r="B40" s="26" t="str">
        <f t="array" ref="B40">IFERROR(INDEX($F$1:$F$140,MATCH(A40,'Сотношение'!$C$1:$C$140,0)),IFERROR(INDEX($F$1:$F$140,MATCH(A40,$F$1:$F$140,0)),"НЕ НАЙДЕНО"))</f>
        <v>Спецодежда</v>
      </c>
      <c r="F40" s="15" t="s">
        <v>30</v>
      </c>
    </row>
    <row r="41">
      <c r="A41" s="9" t="s">
        <v>28</v>
      </c>
      <c r="B41" s="26" t="str">
        <f t="array" ref="B41">IFERROR(INDEX($F$1:$F$140,MATCH(A41,'Сотношение'!$C$1:$C$140,0)),IFERROR(INDEX($F$1:$F$140,MATCH(A41,$F$1:$F$140,0)),"НЕ НАЙДЕНО"))</f>
        <v>Закуп сырья</v>
      </c>
      <c r="F41" s="15" t="s">
        <v>30</v>
      </c>
    </row>
    <row r="42">
      <c r="A42" s="9" t="s">
        <v>59</v>
      </c>
      <c r="B42" s="26" t="str">
        <f t="array" ref="B42">IFERROR(INDEX($F$1:$F$140,MATCH(A42,'Сотношение'!$C$1:$C$140,0)),IFERROR(INDEX($F$1:$F$140,MATCH(A42,$F$1:$F$140,0)),"НЕ НАЙДЕНО"))</f>
        <v>Топливо</v>
      </c>
      <c r="F42" s="15" t="s">
        <v>30</v>
      </c>
    </row>
    <row r="43">
      <c r="A43" s="9" t="s">
        <v>112</v>
      </c>
      <c r="B43" s="26" t="str">
        <f t="array" ref="B43">IFERROR(INDEX($F$1:$F$140,MATCH(A43,'Сотношение'!$C$1:$C$140,0)),IFERROR(INDEX($F$1:$F$140,MATCH(A43,$F$1:$F$140,0)),"НЕ НАЙДЕНО"))</f>
        <v>Транспортные расходы</v>
      </c>
      <c r="F43" s="15" t="s">
        <v>30</v>
      </c>
    </row>
    <row r="44">
      <c r="A44" s="9" t="s">
        <v>107</v>
      </c>
      <c r="B44" s="26" t="str">
        <f t="array" ref="B44">IFERROR(INDEX($F$1:$F$140,MATCH(A44,'Сотношение'!$C$1:$C$140,0)),IFERROR(INDEX($F$1:$F$140,MATCH(A44,$F$1:$F$140,0)),"НЕ НАЙДЕНО"))</f>
        <v>Транспортные услуги</v>
      </c>
      <c r="F44" s="15" t="s">
        <v>30</v>
      </c>
    </row>
    <row r="45">
      <c r="A45" s="9" t="s">
        <v>75</v>
      </c>
      <c r="B45" s="26" t="str">
        <f t="array" ref="B45">IFERROR(INDEX($F$1:$F$140,MATCH(A45,'Сотношение'!$C$1:$C$140,0)),IFERROR(INDEX($F$1:$F$140,MATCH(A45,$F$1:$F$140,0)),"НЕ НАЙДЕНО"))</f>
        <v>Услуги связи и интернета</v>
      </c>
      <c r="F45" s="15" t="s">
        <v>30</v>
      </c>
    </row>
    <row r="46">
      <c r="A46" s="9" t="s">
        <v>126</v>
      </c>
      <c r="B46" s="26" t="str">
        <f t="array" ref="B46">IFERROR(INDEX($F$1:$F$140,MATCH(A46,'Сотношение'!$C$1:$C$140,0)),IFERROR(INDEX($F$1:$F$140,MATCH(A46,$F$1:$F$140,0)),"НЕ НАЙДЕНО"))</f>
        <v>Услуги сторонних подрядчиков</v>
      </c>
      <c r="F46" s="15" t="s">
        <v>30</v>
      </c>
    </row>
    <row r="47">
      <c r="A47" s="9" t="s">
        <v>128</v>
      </c>
      <c r="B47" s="26" t="str">
        <f t="array" ref="B47">IFERROR(INDEX($F$1:$F$140,MATCH(A47,'Сотношение'!$C$1:$C$140,0)),IFERROR(INDEX($F$1:$F$140,MATCH(A47,$F$1:$F$140,0)),"НЕ НАЙДЕНО"))</f>
        <v>НЕ НАЙДЕНО</v>
      </c>
      <c r="F47" s="15" t="s">
        <v>30</v>
      </c>
    </row>
    <row r="48">
      <c r="A48" s="9" t="s">
        <v>129</v>
      </c>
      <c r="B48" s="26" t="str">
        <f t="array" ref="B48">IFERROR(INDEX($F$1:$F$140,MATCH(A48,'Сотношение'!$C$1:$C$140,0)),IFERROR(INDEX($F$1:$F$140,MATCH(A48,$F$1:$F$140,0)),"НЕ НАЙДЕНО"))</f>
        <v>Участие на тендерах</v>
      </c>
      <c r="F48" s="15" t="s">
        <v>30</v>
      </c>
    </row>
    <row r="49">
      <c r="A49" s="9" t="s">
        <v>53</v>
      </c>
      <c r="B49" s="26" t="str">
        <f t="array" ref="B49">IFERROR(INDEX($F$1:$F$140,MATCH(A49,'Сотношение'!$C$1:$C$140,0)),IFERROR(INDEX($F$1:$F$140,MATCH(A49,$F$1:$F$140,0)),"НЕ НАЙДЕНО"))</f>
        <v>Зарплата</v>
      </c>
      <c r="F49" s="15" t="s">
        <v>30</v>
      </c>
    </row>
    <row r="50">
      <c r="A50" s="9" t="s">
        <v>149</v>
      </c>
      <c r="F50" s="15" t="s">
        <v>30</v>
      </c>
    </row>
    <row r="51">
      <c r="F51" s="15" t="s">
        <v>30</v>
      </c>
    </row>
    <row r="52">
      <c r="F52" s="15" t="s">
        <v>30</v>
      </c>
    </row>
    <row r="53">
      <c r="F53" s="15" t="s">
        <v>30</v>
      </c>
    </row>
    <row r="54">
      <c r="F54" s="15" t="s">
        <v>30</v>
      </c>
    </row>
    <row r="55">
      <c r="F55" s="15" t="s">
        <v>30</v>
      </c>
    </row>
    <row r="56">
      <c r="F56" s="15" t="s">
        <v>30</v>
      </c>
    </row>
    <row r="57">
      <c r="F57" s="15" t="s">
        <v>30</v>
      </c>
    </row>
    <row r="58">
      <c r="F58" s="15" t="s">
        <v>30</v>
      </c>
    </row>
    <row r="59">
      <c r="F59" s="15" t="s">
        <v>30</v>
      </c>
    </row>
    <row r="60">
      <c r="F60" s="15" t="s">
        <v>30</v>
      </c>
    </row>
    <row r="61">
      <c r="F61" s="15" t="s">
        <v>30</v>
      </c>
    </row>
    <row r="62">
      <c r="F62" s="15" t="s">
        <v>30</v>
      </c>
    </row>
    <row r="63">
      <c r="F63" s="15" t="s">
        <v>30</v>
      </c>
    </row>
    <row r="64">
      <c r="F64" s="15" t="s">
        <v>30</v>
      </c>
    </row>
    <row r="65">
      <c r="F65" s="15" t="s">
        <v>30</v>
      </c>
    </row>
    <row r="66">
      <c r="F66" s="15" t="s">
        <v>30</v>
      </c>
    </row>
    <row r="67">
      <c r="F67" s="15" t="s">
        <v>30</v>
      </c>
    </row>
    <row r="68">
      <c r="F68" s="15" t="s">
        <v>30</v>
      </c>
    </row>
    <row r="69">
      <c r="F69" s="15" t="s">
        <v>30</v>
      </c>
    </row>
    <row r="70">
      <c r="F70" s="15" t="s">
        <v>30</v>
      </c>
    </row>
    <row r="71">
      <c r="F71" s="15" t="s">
        <v>30</v>
      </c>
    </row>
    <row r="72">
      <c r="F72" s="15" t="s">
        <v>30</v>
      </c>
    </row>
    <row r="73">
      <c r="F73" s="15" t="s">
        <v>30</v>
      </c>
    </row>
    <row r="74">
      <c r="F74" s="15" t="s">
        <v>30</v>
      </c>
    </row>
    <row r="75">
      <c r="F75" s="15" t="s">
        <v>30</v>
      </c>
    </row>
    <row r="76">
      <c r="F76" s="15" t="s">
        <v>30</v>
      </c>
    </row>
    <row r="77">
      <c r="F77" s="15" t="s">
        <v>30</v>
      </c>
    </row>
    <row r="78">
      <c r="F78" s="15" t="s">
        <v>30</v>
      </c>
    </row>
    <row r="79">
      <c r="F79" s="15" t="s">
        <v>30</v>
      </c>
    </row>
    <row r="80">
      <c r="F80" s="15" t="s">
        <v>30</v>
      </c>
    </row>
    <row r="81">
      <c r="F81" s="15" t="s">
        <v>30</v>
      </c>
    </row>
    <row r="82">
      <c r="F82" s="15" t="s">
        <v>30</v>
      </c>
    </row>
    <row r="83">
      <c r="F83" s="15" t="s">
        <v>30</v>
      </c>
    </row>
    <row r="84">
      <c r="F84" s="15" t="s">
        <v>30</v>
      </c>
    </row>
    <row r="85">
      <c r="F85" s="15" t="s">
        <v>30</v>
      </c>
    </row>
    <row r="86">
      <c r="F86" s="15" t="s">
        <v>30</v>
      </c>
    </row>
    <row r="87">
      <c r="F87" s="26" t="s">
        <v>104</v>
      </c>
    </row>
    <row r="88">
      <c r="F88" s="26" t="s">
        <v>106</v>
      </c>
    </row>
    <row r="89">
      <c r="F89" s="26" t="s">
        <v>166</v>
      </c>
    </row>
    <row r="90">
      <c r="F90" s="26" t="s">
        <v>100</v>
      </c>
    </row>
    <row r="91">
      <c r="F91" s="26" t="s">
        <v>92</v>
      </c>
    </row>
    <row r="92">
      <c r="F92" s="26" t="s">
        <v>92</v>
      </c>
    </row>
    <row r="93">
      <c r="F93" s="26" t="s">
        <v>96</v>
      </c>
    </row>
    <row r="94">
      <c r="F94" s="26" t="s">
        <v>96</v>
      </c>
    </row>
    <row r="95">
      <c r="F95" s="26" t="s">
        <v>96</v>
      </c>
    </row>
    <row r="96">
      <c r="F96" s="26" t="s">
        <v>96</v>
      </c>
    </row>
    <row r="97">
      <c r="F97" s="26" t="s">
        <v>107</v>
      </c>
    </row>
    <row r="98">
      <c r="F98" s="26" t="s">
        <v>107</v>
      </c>
    </row>
    <row r="99">
      <c r="F99" s="26" t="s">
        <v>107</v>
      </c>
    </row>
    <row r="100">
      <c r="F100" s="26" t="s">
        <v>107</v>
      </c>
    </row>
    <row r="101">
      <c r="F101" s="26" t="s">
        <v>107</v>
      </c>
    </row>
    <row r="102">
      <c r="F102" s="26" t="s">
        <v>112</v>
      </c>
    </row>
    <row r="103">
      <c r="F103" s="26" t="s">
        <v>112</v>
      </c>
    </row>
    <row r="104">
      <c r="F104" s="26" t="s">
        <v>116</v>
      </c>
    </row>
    <row r="105">
      <c r="F105" s="26" t="s">
        <v>116</v>
      </c>
    </row>
    <row r="106">
      <c r="F106" s="26" t="s">
        <v>116</v>
      </c>
    </row>
    <row r="107">
      <c r="F107" s="26" t="s">
        <v>116</v>
      </c>
    </row>
    <row r="108">
      <c r="F108" s="26" t="s">
        <v>116</v>
      </c>
    </row>
    <row r="109">
      <c r="F109" s="26" t="s">
        <v>116</v>
      </c>
    </row>
    <row r="110">
      <c r="F110" s="26" t="s">
        <v>116</v>
      </c>
    </row>
    <row r="111">
      <c r="F111" s="26" t="s">
        <v>116</v>
      </c>
    </row>
    <row r="112">
      <c r="F112" s="26" t="s">
        <v>116</v>
      </c>
    </row>
    <row r="113">
      <c r="F113" s="26" t="s">
        <v>116</v>
      </c>
    </row>
    <row r="114">
      <c r="F114" s="26" t="s">
        <v>116</v>
      </c>
    </row>
    <row r="115">
      <c r="F115" s="26" t="s">
        <v>15</v>
      </c>
    </row>
    <row r="116">
      <c r="F116" s="26" t="s">
        <v>54</v>
      </c>
    </row>
    <row r="117">
      <c r="F117" s="26" t="s">
        <v>60</v>
      </c>
    </row>
    <row r="118">
      <c r="F118" s="26" t="s">
        <v>64</v>
      </c>
    </row>
    <row r="119">
      <c r="F119" s="26" t="s">
        <v>130</v>
      </c>
    </row>
    <row r="120">
      <c r="F120" s="26" t="s">
        <v>94</v>
      </c>
    </row>
    <row r="121">
      <c r="F121" s="26" t="s">
        <v>101</v>
      </c>
    </row>
    <row r="122">
      <c r="F122" s="26" t="s">
        <v>102</v>
      </c>
    </row>
    <row r="123">
      <c r="F123" s="26" t="s">
        <v>103</v>
      </c>
    </row>
    <row r="124">
      <c r="F124" s="26" t="s">
        <v>105</v>
      </c>
    </row>
    <row r="125">
      <c r="F125" s="26" t="s">
        <v>115</v>
      </c>
    </row>
    <row r="126">
      <c r="F126" s="26" t="s">
        <v>115</v>
      </c>
    </row>
    <row r="127">
      <c r="F127" s="26" t="s">
        <v>115</v>
      </c>
    </row>
    <row r="128">
      <c r="F128" s="26" t="s">
        <v>115</v>
      </c>
    </row>
    <row r="129">
      <c r="F129" s="26" t="s">
        <v>115</v>
      </c>
    </row>
    <row r="130">
      <c r="F130" s="26" t="s">
        <v>115</v>
      </c>
    </row>
    <row r="131">
      <c r="F131" s="26" t="s">
        <v>115</v>
      </c>
    </row>
    <row r="132">
      <c r="F132" s="26" t="s">
        <v>115</v>
      </c>
    </row>
    <row r="133">
      <c r="F133" s="26" t="s">
        <v>115</v>
      </c>
    </row>
    <row r="134">
      <c r="F134" s="26" t="s">
        <v>119</v>
      </c>
    </row>
    <row r="135">
      <c r="F135" s="26" t="s">
        <v>119</v>
      </c>
    </row>
    <row r="136">
      <c r="F136" s="26" t="s">
        <v>120</v>
      </c>
    </row>
    <row r="137">
      <c r="F137" s="26" t="s">
        <v>126</v>
      </c>
    </row>
    <row r="138">
      <c r="F138" s="26" t="s">
        <v>126</v>
      </c>
    </row>
    <row r="139">
      <c r="F139" s="26" t="s">
        <v>129</v>
      </c>
    </row>
    <row r="140">
      <c r="F140" s="26" t="s">
        <v>78</v>
      </c>
    </row>
  </sheetData>
  <drawing r:id="rId1"/>
</worksheet>
</file>